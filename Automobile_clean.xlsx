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OneDrive\Documents\Data analysis practices folder\"/>
    </mc:Choice>
  </mc:AlternateContent>
  <xr:revisionPtr revIDLastSave="0" documentId="13_ncr:1_{56BD8AD8-DAF5-4869-9550-8ACC943EEEB4}" xr6:coauthVersionLast="47" xr6:coauthVersionMax="47" xr10:uidLastSave="{00000000-0000-0000-0000-000000000000}"/>
  <bookViews>
    <workbookView xWindow="-110" yWindow="-110" windowWidth="19420" windowHeight="11020" xr2:uid="{D8E0A434-57DE-4126-9B16-17B2E8D17CAE}"/>
  </bookViews>
  <sheets>
    <sheet name="Auto" sheetId="1" r:id="rId1"/>
    <sheet name="Analysis" sheetId="2" r:id="rId2"/>
    <sheet name="Dashboard" sheetId="3" r:id="rId3"/>
    <sheet name="Pivot Table" sheetId="4" r:id="rId4"/>
    <sheet name="Insights" sheetId="6" r:id="rId5"/>
  </sheets>
  <definedNames>
    <definedName name="Slicer_aspiration">#N/A</definedName>
    <definedName name="Slicer_body_style">#N/A</definedName>
    <definedName name="Slicer_fuel_type">#N/A</definedName>
    <definedName name="Slicer_make">#N/A</definedName>
    <definedName name="Slicer_num_of_cylinder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2" l="1"/>
  <c r="B25" i="2"/>
  <c r="B24" i="2"/>
  <c r="B23" i="2"/>
  <c r="B22" i="2"/>
  <c r="B18" i="2"/>
  <c r="B17" i="2"/>
  <c r="B16" i="2"/>
  <c r="B15" i="2"/>
  <c r="B12" i="2"/>
  <c r="B13" i="2" s="1"/>
  <c r="B11" i="2"/>
  <c r="B9" i="2"/>
  <c r="B8" i="2"/>
  <c r="B7" i="2"/>
  <c r="B4" i="2"/>
  <c r="B3" i="2"/>
  <c r="B2" i="2"/>
  <c r="B5" i="2" l="1"/>
</calcChain>
</file>

<file path=xl/sharedStrings.xml><?xml version="1.0" encoding="utf-8"?>
<sst xmlns="http://schemas.openxmlformats.org/spreadsheetml/2006/main" count="2291" uniqueCount="158">
  <si>
    <t>alfa-romero</t>
  </si>
  <si>
    <t>gas</t>
  </si>
  <si>
    <t>std</t>
  </si>
  <si>
    <t>two</t>
  </si>
  <si>
    <t>convertible</t>
  </si>
  <si>
    <t>rwd</t>
  </si>
  <si>
    <t>front</t>
  </si>
  <si>
    <t>dohc</t>
  </si>
  <si>
    <t>four</t>
  </si>
  <si>
    <t>mpfi</t>
  </si>
  <si>
    <t>hatchback</t>
  </si>
  <si>
    <t>ohcv</t>
  </si>
  <si>
    <t>six</t>
  </si>
  <si>
    <t>audi</t>
  </si>
  <si>
    <t>sedan</t>
  </si>
  <si>
    <t>fwd</t>
  </si>
  <si>
    <t>ohc</t>
  </si>
  <si>
    <t>4wd</t>
  </si>
  <si>
    <t>five</t>
  </si>
  <si>
    <t>wagon</t>
  </si>
  <si>
    <t>turbo</t>
  </si>
  <si>
    <t>bmw</t>
  </si>
  <si>
    <t>chevrolet</t>
  </si>
  <si>
    <t>l</t>
  </si>
  <si>
    <t>three</t>
  </si>
  <si>
    <t>2bbl</t>
  </si>
  <si>
    <t>dodge</t>
  </si>
  <si>
    <t>mfi</t>
  </si>
  <si>
    <t>honda</t>
  </si>
  <si>
    <t>1bbl</t>
  </si>
  <si>
    <t>isuzu</t>
  </si>
  <si>
    <t>spfi</t>
  </si>
  <si>
    <t>jaguar</t>
  </si>
  <si>
    <t>twelve</t>
  </si>
  <si>
    <t>mazda</t>
  </si>
  <si>
    <t>rotor</t>
  </si>
  <si>
    <t>4bbl</t>
  </si>
  <si>
    <t>diesel</t>
  </si>
  <si>
    <t>idi</t>
  </si>
  <si>
    <t>mercedes-benz</t>
  </si>
  <si>
    <t>hardtop</t>
  </si>
  <si>
    <t>eight</t>
  </si>
  <si>
    <t>mercury</t>
  </si>
  <si>
    <t>mitsubishi</t>
  </si>
  <si>
    <t>spdi</t>
  </si>
  <si>
    <t>nissan</t>
  </si>
  <si>
    <t>peugot</t>
  </si>
  <si>
    <t>plymouth</t>
  </si>
  <si>
    <t>porsche</t>
  </si>
  <si>
    <t>rear</t>
  </si>
  <si>
    <t>ohcf</t>
  </si>
  <si>
    <t>dohcv</t>
  </si>
  <si>
    <t>renault</t>
  </si>
  <si>
    <t>saab</t>
  </si>
  <si>
    <t>subaru</t>
  </si>
  <si>
    <t>toyota</t>
  </si>
  <si>
    <t>volkswagen</t>
  </si>
  <si>
    <t>volvo</t>
  </si>
  <si>
    <t>fuel_type</t>
  </si>
  <si>
    <t>aspiration</t>
  </si>
  <si>
    <t>symboling</t>
  </si>
  <si>
    <t>make</t>
  </si>
  <si>
    <t>num_of_doors</t>
  </si>
  <si>
    <t>body_style</t>
  </si>
  <si>
    <t>drive_wheels</t>
  </si>
  <si>
    <t>engine_location</t>
  </si>
  <si>
    <t>wheel_base</t>
  </si>
  <si>
    <t>length</t>
  </si>
  <si>
    <t>width</t>
  </si>
  <si>
    <t>height</t>
  </si>
  <si>
    <t>curb_weight</t>
  </si>
  <si>
    <t>engine_type</t>
  </si>
  <si>
    <t>num_of_cylinders</t>
  </si>
  <si>
    <t>engine_size</t>
  </si>
  <si>
    <t>fuel_system</t>
  </si>
  <si>
    <t>bore</t>
  </si>
  <si>
    <t>stroke</t>
  </si>
  <si>
    <t>compression_ratio</t>
  </si>
  <si>
    <t>horsepower</t>
  </si>
  <si>
    <t>city_mpg</t>
  </si>
  <si>
    <t>Normalized_losses</t>
  </si>
  <si>
    <t>Highway_mpg</t>
  </si>
  <si>
    <t>Price</t>
  </si>
  <si>
    <t>Peak_rpm</t>
  </si>
  <si>
    <t>Horsepower</t>
  </si>
  <si>
    <t>Average Price of a car :</t>
  </si>
  <si>
    <t>Cheapest Price :</t>
  </si>
  <si>
    <t>Most expensive Price :</t>
  </si>
  <si>
    <t>Price range :</t>
  </si>
  <si>
    <t>Average Horsepower :</t>
  </si>
  <si>
    <t>Question</t>
  </si>
  <si>
    <t>Answer</t>
  </si>
  <si>
    <t>Highest Horsepower :</t>
  </si>
  <si>
    <t>Lowest Horsepower :</t>
  </si>
  <si>
    <t>Average City MPG :</t>
  </si>
  <si>
    <t>Which is better :</t>
  </si>
  <si>
    <t>Average Highway MPG :</t>
  </si>
  <si>
    <t>Average Price of GAS Cars :</t>
  </si>
  <si>
    <t>Average Price of DIESEL Cars :</t>
  </si>
  <si>
    <t>Average price of STANDARD cars :</t>
  </si>
  <si>
    <t>Average price of TURBO cars</t>
  </si>
  <si>
    <t>Body Style</t>
  </si>
  <si>
    <t>Sedan</t>
  </si>
  <si>
    <t>Hatchback</t>
  </si>
  <si>
    <t>Wagon</t>
  </si>
  <si>
    <t>Hardtop</t>
  </si>
  <si>
    <t>Convertible</t>
  </si>
  <si>
    <t>Highest average price body style</t>
  </si>
  <si>
    <t>lowest average price body style</t>
  </si>
  <si>
    <t>Row Labels</t>
  </si>
  <si>
    <t>Grand Total</t>
  </si>
  <si>
    <t>Average of Price</t>
  </si>
  <si>
    <t>Average of Horsepower</t>
  </si>
  <si>
    <t>Max of Highway_mpg</t>
  </si>
  <si>
    <t>Average of engine_size</t>
  </si>
  <si>
    <t>I985 Automobile Interactive Dashboard</t>
  </si>
  <si>
    <t>A Complete Data Cleaning &amp; Analysis Project</t>
  </si>
  <si>
    <t>KEY</t>
  </si>
  <si>
    <t>INSIGHTS:</t>
  </si>
  <si>
    <t>•</t>
  </si>
  <si>
    <t>Average</t>
  </si>
  <si>
    <t>car</t>
  </si>
  <si>
    <t>price:</t>
  </si>
  <si>
    <t>Cheapest:</t>
  </si>
  <si>
    <t>|</t>
  </si>
  <si>
    <t>Most</t>
  </si>
  <si>
    <t>expensive:</t>
  </si>
  <si>
    <t>Diesel</t>
  </si>
  <si>
    <t>costs</t>
  </si>
  <si>
    <t>MORE</t>
  </si>
  <si>
    <t>than</t>
  </si>
  <si>
    <t>(+23%)</t>
  </si>
  <si>
    <t>Turbo</t>
  </si>
  <si>
    <t>standard</t>
  </si>
  <si>
    <t>(+30%)</t>
  </si>
  <si>
    <t>expensive</t>
  </si>
  <si>
    <t>body</t>
  </si>
  <si>
    <t>styles:</t>
  </si>
  <si>
    <t>and</t>
  </si>
  <si>
    <t>Best</t>
  </si>
  <si>
    <t>value</t>
  </si>
  <si>
    <t>(~$10,000)</t>
  </si>
  <si>
    <t>brand:</t>
  </si>
  <si>
    <t>Mercedes-Benz</t>
  </si>
  <si>
    <t>Least</t>
  </si>
  <si>
    <t>Chevrolet</t>
  </si>
  <si>
    <t>Highest</t>
  </si>
  <si>
    <t>(has</t>
  </si>
  <si>
    <t>both</t>
  </si>
  <si>
    <t>economy</t>
  </si>
  <si>
    <t>AND</t>
  </si>
  <si>
    <t>muscle</t>
  </si>
  <si>
    <t>cars)</t>
  </si>
  <si>
    <t>Highway</t>
  </si>
  <si>
    <t>MPG</t>
  </si>
  <si>
    <t>is</t>
  </si>
  <si>
    <t>better</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</si>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</sst>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_(&quot;$&quot;* #,##0_);_(&quot;$&quot;* \(#,##0\);_(&quot;$&quot;* &quot;-&quot;??_);_(@_)"/>
    <numFmt numFmtId="166" formatCode="&quot;$&quot;#,##0.00"/>
    <numFmt numFmtId="167" formatCode="&quot;$&quot;#,##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rgb="FFF9FAFB"/>
      <name val="Algerian"/>
      <family val="5"/>
    </font>
    <font>
      <b/>
      <sz val="8"/>
      <color theme="1"/>
      <name val="Algerian"/>
      <family val="5"/>
    </font>
    <font>
      <b/>
      <sz val="11"/>
      <color theme="1"/>
      <name val="Agency FB"/>
      <family val="2"/>
    </font>
    <font>
      <b/>
      <sz val="36"/>
      <color theme="1"/>
      <name val="Algerian"/>
      <family val="5"/>
    </font>
    <font>
      <b/>
      <sz val="24"/>
      <color theme="1"/>
      <name val="Algerian"/>
      <family val="5"/>
    </font>
    <font>
      <b/>
      <sz val="24"/>
      <color theme="1"/>
      <name val="Agency FB"/>
      <family val="2"/>
    </font>
    <font>
      <i/>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2" tint="-9.9978637043366805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8" fillId="33" borderId="0" xfId="0" applyFont="1" applyFill="1" applyAlignment="1">
      <alignment horizontal="left" vertical="center" wrapText="1" indent="1"/>
    </xf>
    <xf numFmtId="0" fontId="18" fillId="33" borderId="0" xfId="0" applyFont="1" applyFill="1"/>
    <xf numFmtId="2" fontId="18" fillId="33" borderId="0" xfId="0" applyNumberFormat="1" applyFont="1" applyFill="1"/>
    <xf numFmtId="2" fontId="0" fillId="0" borderId="0" xfId="0" applyNumberFormat="1"/>
    <xf numFmtId="49" fontId="18" fillId="33" borderId="0" xfId="0" applyNumberFormat="1" applyFont="1" applyFill="1"/>
    <xf numFmtId="49" fontId="0" fillId="0" borderId="0" xfId="0" applyNumberFormat="1"/>
    <xf numFmtId="49" fontId="19" fillId="33" borderId="0" xfId="0" applyNumberFormat="1" applyFont="1" applyFill="1"/>
    <xf numFmtId="2" fontId="18" fillId="33" borderId="0" xfId="0" applyNumberFormat="1" applyFont="1" applyFill="1" applyAlignment="1">
      <alignment horizontal="left" vertical="center" wrapText="1" indent="1"/>
    </xf>
    <xf numFmtId="164" fontId="0" fillId="0" borderId="0" xfId="0" applyNumberFormat="1"/>
    <xf numFmtId="1" fontId="0" fillId="0" borderId="0" xfId="0" applyNumberFormat="1"/>
    <xf numFmtId="165" fontId="0" fillId="0" borderId="0" xfId="1" applyNumberFormat="1" applyFont="1"/>
    <xf numFmtId="0" fontId="20" fillId="33" borderId="0" xfId="0" applyFont="1" applyFill="1"/>
    <xf numFmtId="166" fontId="0" fillId="0" borderId="0" xfId="1" applyNumberFormat="1" applyFon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xf numFmtId="0" fontId="21" fillId="0" borderId="0" xfId="0" applyFont="1"/>
    <xf numFmtId="0" fontId="22" fillId="33" borderId="11" xfId="0" applyFont="1" applyFill="1" applyBorder="1"/>
    <xf numFmtId="167" fontId="16" fillId="34" borderId="10" xfId="0" applyNumberFormat="1" applyFont="1" applyFill="1" applyBorder="1"/>
    <xf numFmtId="6" fontId="0" fillId="0" borderId="0" xfId="0" applyNumberFormat="1" applyAlignment="1">
      <alignment horizontal="center"/>
    </xf>
    <xf numFmtId="0" fontId="23" fillId="35" borderId="12" xfId="0" applyFont="1" applyFill="1" applyBorder="1" applyAlignment="1">
      <alignment horizontal="center"/>
    </xf>
    <xf numFmtId="0" fontId="23" fillId="35" borderId="13" xfId="0" applyFont="1" applyFill="1" applyBorder="1" applyAlignment="1">
      <alignment horizontal="center"/>
    </xf>
    <xf numFmtId="0" fontId="23" fillId="35" borderId="14" xfId="0" applyFont="1" applyFill="1" applyBorder="1" applyAlignment="1">
      <alignment horizontal="center"/>
    </xf>
    <xf numFmtId="0" fontId="24" fillId="36" borderId="15" xfId="0"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0" formatCode="@"/>
    </dxf>
    <dxf>
      <numFmt numFmtId="30" formatCode="@"/>
    </dxf>
    <dxf>
      <numFmt numFmtId="2" formatCode="0.00"/>
    </dxf>
    <dxf>
      <font>
        <b/>
        <i val="0"/>
        <strike val="0"/>
        <condense val="0"/>
        <extend val="0"/>
        <outline val="0"/>
        <shadow val="0"/>
        <u val="none"/>
        <vertAlign val="baseline"/>
        <sz val="8"/>
        <color rgb="FFF9FAFB"/>
        <name val="Algerian"/>
        <family val="5"/>
        <scheme val="none"/>
      </font>
      <fill>
        <patternFill patternType="solid">
          <fgColor indexed="64"/>
          <bgColor theme="4"/>
        </patternFill>
      </fill>
      <alignment horizontal="left" vertical="center" textRotation="0" wrapText="1" indent="1" justifyLastLine="0" shrinkToFit="0" readingOrder="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by car brand</a:t>
            </a:r>
          </a:p>
        </c:rich>
      </c:tx>
      <c:layout>
        <c:manualLayout>
          <c:xMode val="edge"/>
          <c:yMode val="edge"/>
          <c:x val="0.3172152230971128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Table'!$A$14:$A$36</c:f>
              <c:strCache>
                <c:ptCount val="22"/>
                <c:pt idx="0">
                  <c:v>alfa-romero</c:v>
                </c:pt>
                <c:pt idx="1">
                  <c:v>audi</c:v>
                </c:pt>
                <c:pt idx="2">
                  <c:v>bmw</c:v>
                </c:pt>
                <c:pt idx="3">
                  <c:v>chevrolet</c:v>
                </c:pt>
                <c:pt idx="4">
                  <c:v>dodge</c:v>
                </c:pt>
                <c:pt idx="5">
                  <c:v>honda</c:v>
                </c:pt>
                <c:pt idx="6">
                  <c:v>isuzu</c:v>
                </c:pt>
                <c:pt idx="7">
                  <c:v>jaguar</c:v>
                </c:pt>
                <c:pt idx="8">
                  <c:v>mazda</c:v>
                </c:pt>
                <c:pt idx="9">
                  <c:v>mercedes-benz</c:v>
                </c:pt>
                <c:pt idx="10">
                  <c:v>mercury</c:v>
                </c:pt>
                <c:pt idx="11">
                  <c:v>mitsubishi</c:v>
                </c:pt>
                <c:pt idx="12">
                  <c:v>nissan</c:v>
                </c:pt>
                <c:pt idx="13">
                  <c:v>peugot</c:v>
                </c:pt>
                <c:pt idx="14">
                  <c:v>plymouth</c:v>
                </c:pt>
                <c:pt idx="15">
                  <c:v>porsche</c:v>
                </c:pt>
                <c:pt idx="16">
                  <c:v>renault</c:v>
                </c:pt>
                <c:pt idx="17">
                  <c:v>saab</c:v>
                </c:pt>
                <c:pt idx="18">
                  <c:v>subaru</c:v>
                </c:pt>
                <c:pt idx="19">
                  <c:v>toyota</c:v>
                </c:pt>
                <c:pt idx="20">
                  <c:v>volkswagen</c:v>
                </c:pt>
                <c:pt idx="21">
                  <c:v>volvo</c:v>
                </c:pt>
              </c:strCache>
            </c:strRef>
          </c:cat>
          <c:val>
            <c:numRef>
              <c:f>'Pivot Table'!$B$14:$B$36</c:f>
              <c:numCache>
                <c:formatCode>"$"#,##0</c:formatCode>
                <c:ptCount val="22"/>
                <c:pt idx="0">
                  <c:v>15498.333333333334</c:v>
                </c:pt>
                <c:pt idx="1">
                  <c:v>17859.166666666668</c:v>
                </c:pt>
                <c:pt idx="2">
                  <c:v>26118.75</c:v>
                </c:pt>
                <c:pt idx="3">
                  <c:v>6007</c:v>
                </c:pt>
                <c:pt idx="4">
                  <c:v>7875.4444444444443</c:v>
                </c:pt>
                <c:pt idx="5">
                  <c:v>8184.6923076923076</c:v>
                </c:pt>
                <c:pt idx="6">
                  <c:v>8916.5</c:v>
                </c:pt>
                <c:pt idx="7">
                  <c:v>34600</c:v>
                </c:pt>
                <c:pt idx="8">
                  <c:v>10652.882352941177</c:v>
                </c:pt>
                <c:pt idx="9">
                  <c:v>33647</c:v>
                </c:pt>
                <c:pt idx="10">
                  <c:v>16503</c:v>
                </c:pt>
                <c:pt idx="11">
                  <c:v>9239.7692307692305</c:v>
                </c:pt>
                <c:pt idx="12">
                  <c:v>10415.666666666666</c:v>
                </c:pt>
                <c:pt idx="13">
                  <c:v>15489.09090909091</c:v>
                </c:pt>
                <c:pt idx="14">
                  <c:v>7963.4285714285716</c:v>
                </c:pt>
                <c:pt idx="15">
                  <c:v>31400.5</c:v>
                </c:pt>
                <c:pt idx="16">
                  <c:v>9595</c:v>
                </c:pt>
                <c:pt idx="17">
                  <c:v>15223.333333333334</c:v>
                </c:pt>
                <c:pt idx="18">
                  <c:v>8541.25</c:v>
                </c:pt>
                <c:pt idx="19">
                  <c:v>9885.8125</c:v>
                </c:pt>
                <c:pt idx="20">
                  <c:v>10077.5</c:v>
                </c:pt>
                <c:pt idx="21">
                  <c:v>18063.18181818182</c:v>
                </c:pt>
              </c:numCache>
            </c:numRef>
          </c:val>
          <c:extLst>
            <c:ext xmlns:c16="http://schemas.microsoft.com/office/drawing/2014/chart" uri="{C3380CC4-5D6E-409C-BE32-E72D297353CC}">
              <c16:uniqueId val="{00000000-67AE-4A7A-AD5A-BCE0E315362F}"/>
            </c:ext>
          </c:extLst>
        </c:ser>
        <c:dLbls>
          <c:showLegendKey val="0"/>
          <c:showVal val="0"/>
          <c:showCatName val="0"/>
          <c:showSerName val="0"/>
          <c:showPercent val="0"/>
          <c:showBubbleSize val="0"/>
        </c:dLbls>
        <c:gapWidth val="182"/>
        <c:axId val="823929680"/>
        <c:axId val="823930160"/>
      </c:barChart>
      <c:catAx>
        <c:axId val="82392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930160"/>
        <c:crosses val="autoZero"/>
        <c:auto val="1"/>
        <c:lblAlgn val="ctr"/>
        <c:lblOffset val="100"/>
        <c:noMultiLvlLbl val="0"/>
      </c:catAx>
      <c:valAx>
        <c:axId val="8239301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92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body style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convertible</c:v>
                </c:pt>
                <c:pt idx="1">
                  <c:v>hardtop</c:v>
                </c:pt>
                <c:pt idx="2">
                  <c:v>hatchback</c:v>
                </c:pt>
                <c:pt idx="3">
                  <c:v>sedan</c:v>
                </c:pt>
                <c:pt idx="4">
                  <c:v>wagon</c:v>
                </c:pt>
              </c:strCache>
            </c:strRef>
          </c:cat>
          <c:val>
            <c:numRef>
              <c:f>'Pivot Table'!$B$4:$B$9</c:f>
              <c:numCache>
                <c:formatCode>"$"#,##0</c:formatCode>
                <c:ptCount val="5"/>
                <c:pt idx="0">
                  <c:v>21890.5</c:v>
                </c:pt>
                <c:pt idx="1">
                  <c:v>22208.5</c:v>
                </c:pt>
                <c:pt idx="2">
                  <c:v>9957.4411764705874</c:v>
                </c:pt>
                <c:pt idx="3">
                  <c:v>14459.755319148937</c:v>
                </c:pt>
                <c:pt idx="4">
                  <c:v>12371.96</c:v>
                </c:pt>
              </c:numCache>
            </c:numRef>
          </c:val>
          <c:extLst>
            <c:ext xmlns:c16="http://schemas.microsoft.com/office/drawing/2014/chart" uri="{C3380CC4-5D6E-409C-BE32-E72D297353CC}">
              <c16:uniqueId val="{00000000-74DD-458D-AA72-C7987F9141AC}"/>
            </c:ext>
          </c:extLst>
        </c:ser>
        <c:dLbls>
          <c:showLegendKey val="0"/>
          <c:showVal val="0"/>
          <c:showCatName val="0"/>
          <c:showSerName val="0"/>
          <c:showPercent val="0"/>
          <c:showBubbleSize val="0"/>
        </c:dLbls>
        <c:gapWidth val="182"/>
        <c:axId val="870765760"/>
        <c:axId val="870750400"/>
      </c:barChart>
      <c:catAx>
        <c:axId val="87076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50400"/>
        <c:crosses val="autoZero"/>
        <c:auto val="1"/>
        <c:lblAlgn val="ctr"/>
        <c:lblOffset val="100"/>
        <c:noMultiLvlLbl val="0"/>
      </c:catAx>
      <c:valAx>
        <c:axId val="8707504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 Vs Diesel:</a:t>
            </a:r>
            <a:r>
              <a:rPr lang="en-US" baseline="0"/>
              <a:t> 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Table'!$D$4:$D$6</c:f>
              <c:strCache>
                <c:ptCount val="2"/>
                <c:pt idx="0">
                  <c:v>diesel</c:v>
                </c:pt>
                <c:pt idx="1">
                  <c:v>gas</c:v>
                </c:pt>
              </c:strCache>
            </c:strRef>
          </c:cat>
          <c:val>
            <c:numRef>
              <c:f>'Pivot Table'!$E$4:$E$6</c:f>
              <c:numCache>
                <c:formatCode>"$"#,##0</c:formatCode>
                <c:ptCount val="2"/>
                <c:pt idx="0">
                  <c:v>15838.15</c:v>
                </c:pt>
                <c:pt idx="1">
                  <c:v>12916.408839779006</c:v>
                </c:pt>
              </c:numCache>
            </c:numRef>
          </c:val>
          <c:extLst>
            <c:ext xmlns:c16="http://schemas.microsoft.com/office/drawing/2014/chart" uri="{C3380CC4-5D6E-409C-BE32-E72D297353CC}">
              <c16:uniqueId val="{00000000-3C6E-44FB-B90C-6F7028E6BEE7}"/>
            </c:ext>
          </c:extLst>
        </c:ser>
        <c:dLbls>
          <c:showLegendKey val="0"/>
          <c:showVal val="0"/>
          <c:showCatName val="0"/>
          <c:showSerName val="0"/>
          <c:showPercent val="0"/>
          <c:showBubbleSize val="0"/>
        </c:dLbls>
        <c:gapWidth val="150"/>
        <c:overlap val="100"/>
        <c:axId val="870713920"/>
        <c:axId val="870717280"/>
      </c:barChart>
      <c:catAx>
        <c:axId val="8707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17280"/>
        <c:crosses val="autoZero"/>
        <c:auto val="1"/>
        <c:lblAlgn val="ctr"/>
        <c:lblOffset val="100"/>
        <c:noMultiLvlLbl val="0"/>
      </c:catAx>
      <c:valAx>
        <c:axId val="8707172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a:t>
            </a:r>
            <a:r>
              <a:rPr lang="en-US" baseline="0"/>
              <a:t> Vs turbo: Average Price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Table'!$D$14:$D$16</c:f>
              <c:strCache>
                <c:ptCount val="2"/>
                <c:pt idx="0">
                  <c:v>std</c:v>
                </c:pt>
                <c:pt idx="1">
                  <c:v>turbo</c:v>
                </c:pt>
              </c:strCache>
            </c:strRef>
          </c:cat>
          <c:val>
            <c:numRef>
              <c:f>'Pivot Table'!$E$14:$E$16</c:f>
              <c:numCache>
                <c:formatCode>"$"#,##0</c:formatCode>
                <c:ptCount val="2"/>
                <c:pt idx="0">
                  <c:v>12542.181818181818</c:v>
                </c:pt>
                <c:pt idx="1">
                  <c:v>16254.805555555555</c:v>
                </c:pt>
              </c:numCache>
            </c:numRef>
          </c:val>
          <c:extLst>
            <c:ext xmlns:c16="http://schemas.microsoft.com/office/drawing/2014/chart" uri="{C3380CC4-5D6E-409C-BE32-E72D297353CC}">
              <c16:uniqueId val="{00000000-CB6C-4017-A66F-EA4AA10CA54C}"/>
            </c:ext>
          </c:extLst>
        </c:ser>
        <c:dLbls>
          <c:showLegendKey val="0"/>
          <c:showVal val="0"/>
          <c:showCatName val="0"/>
          <c:showSerName val="0"/>
          <c:showPercent val="0"/>
          <c:showBubbleSize val="0"/>
        </c:dLbls>
        <c:gapWidth val="182"/>
        <c:axId val="936478336"/>
        <c:axId val="936498016"/>
      </c:barChart>
      <c:catAx>
        <c:axId val="9364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98016"/>
        <c:crosses val="autoZero"/>
        <c:auto val="1"/>
        <c:lblAlgn val="ctr"/>
        <c:lblOffset val="100"/>
        <c:noMultiLvlLbl val="0"/>
      </c:catAx>
      <c:valAx>
        <c:axId val="9364980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7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12700</xdr:rowOff>
    </xdr:from>
    <xdr:to>
      <xdr:col>3</xdr:col>
      <xdr:colOff>0</xdr:colOff>
      <xdr:row>24</xdr:row>
      <xdr:rowOff>142875</xdr:rowOff>
    </xdr:to>
    <mc:AlternateContent xmlns:mc="http://schemas.openxmlformats.org/markup-compatibility/2006" xmlns:a14="http://schemas.microsoft.com/office/drawing/2010/main">
      <mc:Choice Requires="a14">
        <xdr:graphicFrame macro="">
          <xdr:nvGraphicFramePr>
            <xdr:cNvPr id="2" name="num_of_cylinders">
              <a:extLst>
                <a:ext uri="{FF2B5EF4-FFF2-40B4-BE49-F238E27FC236}">
                  <a16:creationId xmlns:a16="http://schemas.microsoft.com/office/drawing/2014/main" id="{832BB4CD-F751-41EE-A6EA-212CC20ABDA1}"/>
                </a:ext>
              </a:extLst>
            </xdr:cNvPr>
            <xdr:cNvGraphicFramePr/>
          </xdr:nvGraphicFramePr>
          <xdr:xfrm>
            <a:off x="0" y="0"/>
            <a:ext cx="0" cy="0"/>
          </xdr:xfrm>
          <a:graphic>
            <a:graphicData uri="http://schemas.microsoft.com/office/drawing/2010/slicer">
              <sle:slicer xmlns:sle="http://schemas.microsoft.com/office/drawing/2010/slicer" name="num_of_cylinders"/>
            </a:graphicData>
          </a:graphic>
        </xdr:graphicFrame>
      </mc:Choice>
      <mc:Fallback xmlns="">
        <xdr:sp macro="" textlink="">
          <xdr:nvSpPr>
            <xdr:cNvPr id="0" name=""/>
            <xdr:cNvSpPr>
              <a:spLocks noTextEdit="1"/>
            </xdr:cNvSpPr>
          </xdr:nvSpPr>
          <xdr:spPr>
            <a:xfrm>
              <a:off x="0" y="2552700"/>
              <a:ext cx="1818409" cy="2569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11</xdr:row>
      <xdr:rowOff>22225</xdr:rowOff>
    </xdr:to>
    <mc:AlternateContent xmlns:mc="http://schemas.openxmlformats.org/markup-compatibility/2006" xmlns:a14="http://schemas.microsoft.com/office/drawing/2010/main">
      <mc:Choice Requires="a14">
        <xdr:graphicFrame macro="">
          <xdr:nvGraphicFramePr>
            <xdr:cNvPr id="3" name="body_style">
              <a:extLst>
                <a:ext uri="{FF2B5EF4-FFF2-40B4-BE49-F238E27FC236}">
                  <a16:creationId xmlns:a16="http://schemas.microsoft.com/office/drawing/2014/main" id="{67744F82-B282-4A88-AFA8-000E5EC11429}"/>
                </a:ext>
              </a:extLst>
            </xdr:cNvPr>
            <xdr:cNvGraphicFramePr/>
          </xdr:nvGraphicFramePr>
          <xdr:xfrm>
            <a:off x="0" y="0"/>
            <a:ext cx="0" cy="0"/>
          </xdr:xfrm>
          <a:graphic>
            <a:graphicData uri="http://schemas.microsoft.com/office/drawing/2010/slicer">
              <sle:slicer xmlns:sle="http://schemas.microsoft.com/office/drawing/2010/slicer" name="body_style"/>
            </a:graphicData>
          </a:graphic>
        </xdr:graphicFrame>
      </mc:Choice>
      <mc:Fallback xmlns="">
        <xdr:sp macro="" textlink="">
          <xdr:nvSpPr>
            <xdr:cNvPr id="0" name=""/>
            <xdr:cNvSpPr>
              <a:spLocks noTextEdit="1"/>
            </xdr:cNvSpPr>
          </xdr:nvSpPr>
          <xdr:spPr>
            <a:xfrm>
              <a:off x="0" y="0"/>
              <a:ext cx="181840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590550</xdr:colOff>
      <xdr:row>0</xdr:row>
      <xdr:rowOff>6350</xdr:rowOff>
    </xdr:from>
    <xdr:to>
      <xdr:col>5</xdr:col>
      <xdr:colOff>590550</xdr:colOff>
      <xdr:row>11</xdr:row>
      <xdr:rowOff>28575</xdr:rowOff>
    </xdr:to>
    <mc:AlternateContent xmlns:mc="http://schemas.openxmlformats.org/markup-compatibility/2006" xmlns:a14="http://schemas.microsoft.com/office/drawing/2010/main">
      <mc:Choice Requires="a14">
        <xdr:graphicFrame macro="">
          <xdr:nvGraphicFramePr>
            <xdr:cNvPr id="4" name="aspiration">
              <a:extLst>
                <a:ext uri="{FF2B5EF4-FFF2-40B4-BE49-F238E27FC236}">
                  <a16:creationId xmlns:a16="http://schemas.microsoft.com/office/drawing/2014/main" id="{64F0854B-53FD-4292-805A-672FF6F0C382}"/>
                </a:ext>
              </a:extLst>
            </xdr:cNvPr>
            <xdr:cNvGraphicFramePr/>
          </xdr:nvGraphicFramePr>
          <xdr:xfrm>
            <a:off x="0" y="0"/>
            <a:ext cx="0" cy="0"/>
          </xdr:xfrm>
          <a:graphic>
            <a:graphicData uri="http://schemas.microsoft.com/office/drawing/2010/slicer">
              <sle:slicer xmlns:sle="http://schemas.microsoft.com/office/drawing/2010/slicer" name="aspiration"/>
            </a:graphicData>
          </a:graphic>
        </xdr:graphicFrame>
      </mc:Choice>
      <mc:Fallback xmlns="">
        <xdr:sp macro="" textlink="">
          <xdr:nvSpPr>
            <xdr:cNvPr id="0" name=""/>
            <xdr:cNvSpPr>
              <a:spLocks noTextEdit="1"/>
            </xdr:cNvSpPr>
          </xdr:nvSpPr>
          <xdr:spPr>
            <a:xfrm>
              <a:off x="1802823" y="6350"/>
              <a:ext cx="181840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580873</xdr:colOff>
      <xdr:row>16</xdr:row>
      <xdr:rowOff>162982</xdr:rowOff>
    </xdr:from>
    <xdr:to>
      <xdr:col>6</xdr:col>
      <xdr:colOff>1789189</xdr:colOff>
      <xdr:row>30</xdr:row>
      <xdr:rowOff>106891</xdr:rowOff>
    </xdr:to>
    <mc:AlternateContent xmlns:mc="http://schemas.openxmlformats.org/markup-compatibility/2006" xmlns:a14="http://schemas.microsoft.com/office/drawing/2010/main">
      <mc:Choice Requires="a14">
        <xdr:graphicFrame macro="">
          <xdr:nvGraphicFramePr>
            <xdr:cNvPr id="5" name="fuel_type">
              <a:extLst>
                <a:ext uri="{FF2B5EF4-FFF2-40B4-BE49-F238E27FC236}">
                  <a16:creationId xmlns:a16="http://schemas.microsoft.com/office/drawing/2014/main" id="{07C1344A-50B1-4972-8B42-9B1728120B65}"/>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3611555" y="3641050"/>
              <a:ext cx="1814452" cy="257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11</xdr:row>
      <xdr:rowOff>6350</xdr:rowOff>
    </xdr:from>
    <xdr:to>
      <xdr:col>6</xdr:col>
      <xdr:colOff>0</xdr:colOff>
      <xdr:row>24</xdr:row>
      <xdr:rowOff>136525</xdr:rowOff>
    </xdr:to>
    <mc:AlternateContent xmlns:mc="http://schemas.openxmlformats.org/markup-compatibility/2006" xmlns:a14="http://schemas.microsoft.com/office/drawing/2010/main">
      <mc:Choice Requires="a14">
        <xdr:graphicFrame macro="">
          <xdr:nvGraphicFramePr>
            <xdr:cNvPr id="6" name="make">
              <a:extLst>
                <a:ext uri="{FF2B5EF4-FFF2-40B4-BE49-F238E27FC236}">
                  <a16:creationId xmlns:a16="http://schemas.microsoft.com/office/drawing/2014/main" id="{FFA54193-2D9B-49B8-BBDA-417C1C9741AD}"/>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1818409" y="2546350"/>
              <a:ext cx="1818409" cy="2569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xdr:row>
      <xdr:rowOff>0</xdr:rowOff>
    </xdr:from>
    <xdr:to>
      <xdr:col>6</xdr:col>
      <xdr:colOff>4572000</xdr:colOff>
      <xdr:row>16</xdr:row>
      <xdr:rowOff>165100</xdr:rowOff>
    </xdr:to>
    <xdr:graphicFrame macro="">
      <xdr:nvGraphicFramePr>
        <xdr:cNvPr id="8" name="Chart 7">
          <a:extLst>
            <a:ext uri="{FF2B5EF4-FFF2-40B4-BE49-F238E27FC236}">
              <a16:creationId xmlns:a16="http://schemas.microsoft.com/office/drawing/2014/main" id="{DF3597DD-B734-454B-9BD6-6433CABAC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4535715</xdr:colOff>
      <xdr:row>2</xdr:row>
      <xdr:rowOff>15119</xdr:rowOff>
    </xdr:from>
    <xdr:to>
      <xdr:col>10</xdr:col>
      <xdr:colOff>429381</xdr:colOff>
      <xdr:row>16</xdr:row>
      <xdr:rowOff>150586</xdr:rowOff>
    </xdr:to>
    <xdr:graphicFrame macro="">
      <xdr:nvGraphicFramePr>
        <xdr:cNvPr id="9" name="Chart 8">
          <a:extLst>
            <a:ext uri="{FF2B5EF4-FFF2-40B4-BE49-F238E27FC236}">
              <a16:creationId xmlns:a16="http://schemas.microsoft.com/office/drawing/2014/main" id="{2003948B-6987-43ED-B0BA-539F3E2C2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423333</xdr:colOff>
      <xdr:row>2</xdr:row>
      <xdr:rowOff>0</xdr:rowOff>
    </xdr:from>
    <xdr:to>
      <xdr:col>18</xdr:col>
      <xdr:colOff>157238</xdr:colOff>
      <xdr:row>17</xdr:row>
      <xdr:rowOff>21772</xdr:rowOff>
    </xdr:to>
    <xdr:graphicFrame macro="">
      <xdr:nvGraphicFramePr>
        <xdr:cNvPr id="10" name="Chart 9">
          <a:extLst>
            <a:ext uri="{FF2B5EF4-FFF2-40B4-BE49-F238E27FC236}">
              <a16:creationId xmlns:a16="http://schemas.microsoft.com/office/drawing/2014/main" id="{9D5A5D91-E227-4F1E-A14E-E91A6930E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xdr:row>
      <xdr:rowOff>0</xdr:rowOff>
    </xdr:from>
    <xdr:to>
      <xdr:col>25</xdr:col>
      <xdr:colOff>338667</xdr:colOff>
      <xdr:row>17</xdr:row>
      <xdr:rowOff>21772</xdr:rowOff>
    </xdr:to>
    <xdr:graphicFrame macro="">
      <xdr:nvGraphicFramePr>
        <xdr:cNvPr id="11" name="Chart 10">
          <a:extLst>
            <a:ext uri="{FF2B5EF4-FFF2-40B4-BE49-F238E27FC236}">
              <a16:creationId xmlns:a16="http://schemas.microsoft.com/office/drawing/2014/main" id="{A87950FD-B561-4B51-9E4B-B1C495D32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654470717593" createdVersion="8" refreshedVersion="8" minRefreshableVersion="3" recordCount="205" xr:uid="{CD44A466-2642-4AA6-8ABA-8BD7C77DC3C2}">
  <cacheSource type="worksheet">
    <worksheetSource name="Table1"/>
  </cacheSource>
  <cacheFields count="26">
    <cacheField name="symboling" numFmtId="0">
      <sharedItems containsSemiMixedTypes="0" containsString="0" containsNumber="1" containsInteger="1" minValue="-2" maxValue="3"/>
    </cacheField>
    <cacheField name="Normalized_losses" numFmtId="2">
      <sharedItems containsString="0" containsBlank="1" containsNumber="1" containsInteger="1" minValue="65" maxValue="256"/>
    </cacheField>
    <cacheField name="make" numFmtId="49">
      <sharedItems count="22">
        <s v="mercedes-benz"/>
        <s v="bmw"/>
        <s v="porsche"/>
        <s v="jaguar"/>
        <s v="audi"/>
        <s v="volvo"/>
        <s v="nissan"/>
        <s v="saab"/>
        <s v="mazda"/>
        <s v="peugot"/>
        <s v="toyota"/>
        <s v="isuzu"/>
        <s v="mercury"/>
        <s v="alfa-romero"/>
        <s v="mitsubishi"/>
        <s v="volkswagen"/>
        <s v="dodge"/>
        <s v="honda"/>
        <s v="plymouth"/>
        <s v="subaru"/>
        <s v="renault"/>
        <s v="chevrolet"/>
      </sharedItems>
    </cacheField>
    <cacheField name="fuel_type" numFmtId="49">
      <sharedItems count="2">
        <s v="gas"/>
        <s v="diesel"/>
      </sharedItems>
    </cacheField>
    <cacheField name="aspiration" numFmtId="0">
      <sharedItems count="2">
        <s v="std"/>
        <s v="turbo"/>
      </sharedItems>
    </cacheField>
    <cacheField name="num_of_doors" numFmtId="0">
      <sharedItems containsBlank="1"/>
    </cacheField>
    <cacheField name="body_style" numFmtId="0">
      <sharedItems count="5">
        <s v="hardtop"/>
        <s v="sedan"/>
        <s v="convertible"/>
        <s v="hatchback"/>
        <s v="wagon"/>
      </sharedItems>
    </cacheField>
    <cacheField name="drive_wheels" numFmtId="0">
      <sharedItems/>
    </cacheField>
    <cacheField name="engine_location" numFmtId="0">
      <sharedItems/>
    </cacheField>
    <cacheField name="wheel_base" numFmtId="2">
      <sharedItems containsSemiMixedTypes="0" containsString="0" containsNumber="1" minValue="86.6" maxValue="120.9"/>
    </cacheField>
    <cacheField name="length" numFmtId="2">
      <sharedItems containsSemiMixedTypes="0" containsString="0" containsNumber="1" minValue="141.1" maxValue="208.1"/>
    </cacheField>
    <cacheField name="width" numFmtId="2">
      <sharedItems containsSemiMixedTypes="0" containsString="0" containsNumber="1" minValue="60.3" maxValue="72.3"/>
    </cacheField>
    <cacheField name="height" numFmtId="2">
      <sharedItems containsSemiMixedTypes="0" containsString="0" containsNumber="1" minValue="47.8" maxValue="59.8"/>
    </cacheField>
    <cacheField name="curb_weight" numFmtId="2">
      <sharedItems containsSemiMixedTypes="0" containsString="0" containsNumber="1" containsInteger="1" minValue="1488" maxValue="4066"/>
    </cacheField>
    <cacheField name="engine_type" numFmtId="0">
      <sharedItems/>
    </cacheField>
    <cacheField name="num_of_cylinders" numFmtId="0">
      <sharedItems count="7">
        <s v="eight"/>
        <s v="six"/>
        <s v="twelve"/>
        <s v="five"/>
        <s v="four"/>
        <s v="two"/>
        <s v="three"/>
      </sharedItems>
    </cacheField>
    <cacheField name="engine_size" numFmtId="2">
      <sharedItems containsSemiMixedTypes="0" containsString="0" containsNumber="1" containsInteger="1" minValue="61" maxValue="326" count="44">
        <n v="304"/>
        <n v="209"/>
        <n v="308"/>
        <n v="194"/>
        <n v="326"/>
        <n v="258"/>
        <n v="234"/>
        <n v="131"/>
        <n v="183"/>
        <n v="164"/>
        <n v="141"/>
        <n v="145"/>
        <n v="151"/>
        <n v="173"/>
        <n v="181"/>
        <n v="130"/>
        <n v="136"/>
        <n v="121"/>
        <n v="134"/>
        <n v="140"/>
        <n v="152"/>
        <n v="146"/>
        <n v="108"/>
        <n v="90"/>
        <n v="120"/>
        <n v="171"/>
        <n v="161"/>
        <n v="80"/>
        <n v="156"/>
        <n v="109"/>
        <n v="97"/>
        <n v="70"/>
        <n v="110"/>
        <n v="122"/>
        <n v="119"/>
        <n v="132"/>
        <n v="98"/>
        <n v="203"/>
        <n v="92"/>
        <n v="91"/>
        <n v="103"/>
        <n v="111"/>
        <n v="79"/>
        <n v="61"/>
      </sharedItems>
    </cacheField>
    <cacheField name="fuel_system" numFmtId="0">
      <sharedItems/>
    </cacheField>
    <cacheField name="bore" numFmtId="0">
      <sharedItems containsSemiMixedTypes="0" containsString="0" containsNumber="1" minValue="2.54" maxValue="3.94"/>
    </cacheField>
    <cacheField name="stroke" numFmtId="0">
      <sharedItems containsSemiMixedTypes="0" containsString="0" containsNumber="1" minValue="2.0699999999999998" maxValue="4.17"/>
    </cacheField>
    <cacheField name="compression_ratio" numFmtId="0">
      <sharedItems containsSemiMixedTypes="0" containsString="0" containsNumber="1" minValue="7" maxValue="23"/>
    </cacheField>
    <cacheField name="Horsepower" numFmtId="2">
      <sharedItems containsString="0" containsBlank="1" containsNumber="1" containsInteger="1" minValue="48" maxValue="288" count="60">
        <n v="184"/>
        <n v="182"/>
        <n v="207"/>
        <n v="262"/>
        <n v="176"/>
        <n v="155"/>
        <n v="160"/>
        <n v="123"/>
        <n v="121"/>
        <n v="140"/>
        <n v="114"/>
        <n v="106"/>
        <n v="143"/>
        <n v="134"/>
        <n v="200"/>
        <n v="162"/>
        <n v="110"/>
        <n v="72"/>
        <n v="120"/>
        <n v="142"/>
        <n v="95"/>
        <n v="116"/>
        <n v="115"/>
        <n v="101"/>
        <n v="70"/>
        <n v="97"/>
        <n v="161"/>
        <n v="175"/>
        <n v="111"/>
        <n v="154"/>
        <n v="156"/>
        <n v="135"/>
        <n v="145"/>
        <n v="152"/>
        <n v="102"/>
        <n v="68"/>
        <n v="88"/>
        <n v="90"/>
        <n v="92"/>
        <n v="84"/>
        <n v="64"/>
        <n v="73"/>
        <n v="100"/>
        <n v="86"/>
        <n v="94"/>
        <m/>
        <n v="112"/>
        <n v="82"/>
        <n v="288"/>
        <n v="62"/>
        <n v="85"/>
        <n v="69"/>
        <n v="52"/>
        <n v="56"/>
        <n v="76"/>
        <n v="55"/>
        <n v="78"/>
        <n v="58"/>
        <n v="60"/>
        <n v="48"/>
      </sharedItems>
    </cacheField>
    <cacheField name="Peak_rpm" numFmtId="0">
      <sharedItems containsString="0" containsBlank="1" containsNumber="1" containsInteger="1" minValue="4150" maxValue="6600"/>
    </cacheField>
    <cacheField name="city_mpg" numFmtId="0">
      <sharedItems containsSemiMixedTypes="0" containsString="0" containsNumber="1" containsInteger="1" minValue="13" maxValue="49"/>
    </cacheField>
    <cacheField name="Highway_mpg" numFmtId="0">
      <sharedItems containsSemiMixedTypes="0" containsString="0" containsNumber="1" containsInteger="1" minValue="16" maxValue="54" count="30">
        <n v="16"/>
        <n v="22"/>
        <n v="25"/>
        <n v="20"/>
        <n v="17"/>
        <n v="19"/>
        <n v="18"/>
        <n v="27"/>
        <n v="23"/>
        <n v="28"/>
        <n v="26"/>
        <n v="39"/>
        <n v="24"/>
        <n v="33"/>
        <n v="30"/>
        <n v="29"/>
        <n v="43"/>
        <n v="38"/>
        <n v="31"/>
        <n v="32"/>
        <n v="42"/>
        <n v="34"/>
        <n v="37"/>
        <n v="46"/>
        <n v="36"/>
        <n v="47"/>
        <n v="50"/>
        <n v="54"/>
        <n v="41"/>
        <n v="53"/>
      </sharedItems>
    </cacheField>
    <cacheField name="Price" numFmtId="2">
      <sharedItems containsString="0" containsBlank="1" containsNumber="1" containsInteger="1" minValue="5118" maxValue="45400"/>
    </cacheField>
  </cacheFields>
  <extLst>
    <ext xmlns:x14="http://schemas.microsoft.com/office/spreadsheetml/2009/9/main" uri="{725AE2AE-9491-48be-B2B4-4EB974FC3084}">
      <x14:pivotCacheDefinition pivotCacheId="750864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n v="1"/>
    <m/>
    <x v="0"/>
    <x v="0"/>
    <x v="0"/>
    <s v="two"/>
    <x v="0"/>
    <s v="rwd"/>
    <s v="front"/>
    <n v="112"/>
    <n v="199.2"/>
    <n v="72"/>
    <n v="55.4"/>
    <n v="3715"/>
    <s v="ohcv"/>
    <x v="0"/>
    <x v="0"/>
    <s v="mpfi"/>
    <n v="3.8"/>
    <n v="3.35"/>
    <n v="8"/>
    <x v="0"/>
    <n v="4500"/>
    <n v="14"/>
    <x v="0"/>
    <n v="45400"/>
  </r>
  <r>
    <n v="0"/>
    <m/>
    <x v="1"/>
    <x v="0"/>
    <x v="0"/>
    <s v="two"/>
    <x v="1"/>
    <s v="rwd"/>
    <s v="front"/>
    <n v="103.5"/>
    <n v="193.8"/>
    <n v="67.900000000000006"/>
    <n v="53.7"/>
    <n v="3380"/>
    <s v="ohc"/>
    <x v="1"/>
    <x v="1"/>
    <s v="mpfi"/>
    <n v="3.62"/>
    <n v="3.39"/>
    <n v="8"/>
    <x v="1"/>
    <n v="5400"/>
    <n v="16"/>
    <x v="1"/>
    <n v="41315"/>
  </r>
  <r>
    <n v="0"/>
    <m/>
    <x v="0"/>
    <x v="0"/>
    <x v="0"/>
    <s v="four"/>
    <x v="1"/>
    <s v="rwd"/>
    <s v="front"/>
    <n v="120.9"/>
    <n v="208.1"/>
    <n v="71.7"/>
    <n v="56.7"/>
    <n v="3900"/>
    <s v="ohcv"/>
    <x v="0"/>
    <x v="2"/>
    <s v="mpfi"/>
    <n v="3.8"/>
    <n v="3.35"/>
    <n v="8"/>
    <x v="0"/>
    <n v="4500"/>
    <n v="14"/>
    <x v="0"/>
    <n v="40960"/>
  </r>
  <r>
    <n v="3"/>
    <m/>
    <x v="2"/>
    <x v="0"/>
    <x v="0"/>
    <s v="two"/>
    <x v="2"/>
    <s v="rwd"/>
    <s v="rear"/>
    <n v="89.5"/>
    <n v="168.9"/>
    <n v="65"/>
    <n v="51.6"/>
    <n v="2800"/>
    <s v="ohcf"/>
    <x v="1"/>
    <x v="3"/>
    <s v="mpfi"/>
    <n v="3.74"/>
    <n v="2.9"/>
    <n v="9.5"/>
    <x v="2"/>
    <n v="5900"/>
    <n v="17"/>
    <x v="2"/>
    <n v="37028"/>
  </r>
  <r>
    <n v="0"/>
    <m/>
    <x v="1"/>
    <x v="0"/>
    <x v="0"/>
    <s v="four"/>
    <x v="1"/>
    <s v="rwd"/>
    <s v="front"/>
    <n v="110"/>
    <n v="197"/>
    <n v="70.900000000000006"/>
    <n v="56.3"/>
    <n v="3505"/>
    <s v="ohc"/>
    <x v="1"/>
    <x v="1"/>
    <s v="mpfi"/>
    <n v="3.62"/>
    <n v="3.39"/>
    <n v="8"/>
    <x v="1"/>
    <n v="5400"/>
    <n v="15"/>
    <x v="3"/>
    <n v="36880"/>
  </r>
  <r>
    <n v="0"/>
    <m/>
    <x v="3"/>
    <x v="0"/>
    <x v="0"/>
    <s v="two"/>
    <x v="1"/>
    <s v="rwd"/>
    <s v="front"/>
    <n v="102"/>
    <n v="191.7"/>
    <n v="70.599999999999994"/>
    <n v="47.8"/>
    <n v="3950"/>
    <s v="ohcv"/>
    <x v="2"/>
    <x v="4"/>
    <s v="mpfi"/>
    <n v="3.54"/>
    <n v="2.76"/>
    <n v="11.5"/>
    <x v="3"/>
    <n v="5000"/>
    <n v="13"/>
    <x v="4"/>
    <n v="36000"/>
  </r>
  <r>
    <n v="0"/>
    <m/>
    <x v="3"/>
    <x v="0"/>
    <x v="0"/>
    <s v="four"/>
    <x v="1"/>
    <s v="rwd"/>
    <s v="front"/>
    <n v="113"/>
    <n v="199.6"/>
    <n v="69.599999999999994"/>
    <n v="52.8"/>
    <n v="4066"/>
    <s v="dohc"/>
    <x v="1"/>
    <x v="5"/>
    <s v="mpfi"/>
    <n v="3.63"/>
    <n v="4.17"/>
    <n v="8.1"/>
    <x v="4"/>
    <n v="4750"/>
    <n v="15"/>
    <x v="5"/>
    <n v="35550"/>
  </r>
  <r>
    <n v="3"/>
    <n v="142"/>
    <x v="0"/>
    <x v="0"/>
    <x v="0"/>
    <s v="two"/>
    <x v="2"/>
    <s v="rwd"/>
    <s v="front"/>
    <n v="96.6"/>
    <n v="180.3"/>
    <n v="70.5"/>
    <n v="50.8"/>
    <n v="3685"/>
    <s v="ohcv"/>
    <x v="0"/>
    <x v="6"/>
    <s v="mpfi"/>
    <n v="3.46"/>
    <n v="3.1"/>
    <n v="8.3000000000000007"/>
    <x v="5"/>
    <n v="4750"/>
    <n v="16"/>
    <x v="6"/>
    <n v="35056"/>
  </r>
  <r>
    <n v="-1"/>
    <m/>
    <x v="0"/>
    <x v="0"/>
    <x v="0"/>
    <s v="four"/>
    <x v="1"/>
    <s v="rwd"/>
    <s v="front"/>
    <n v="115.6"/>
    <n v="202.6"/>
    <n v="71.7"/>
    <n v="56.5"/>
    <n v="3740"/>
    <s v="ohcv"/>
    <x v="0"/>
    <x v="6"/>
    <s v="mpfi"/>
    <n v="3.46"/>
    <n v="3.1"/>
    <n v="8.3000000000000007"/>
    <x v="5"/>
    <n v="4750"/>
    <n v="16"/>
    <x v="6"/>
    <n v="34184"/>
  </r>
  <r>
    <n v="0"/>
    <m/>
    <x v="4"/>
    <x v="0"/>
    <x v="1"/>
    <s v="two"/>
    <x v="3"/>
    <s v="4wd"/>
    <s v="front"/>
    <n v="99.5"/>
    <n v="178.2"/>
    <n v="67.900000000000006"/>
    <n v="52"/>
    <n v="3053"/>
    <s v="ohc"/>
    <x v="3"/>
    <x v="7"/>
    <s v="mpfi"/>
    <n v="3.13"/>
    <n v="3.4"/>
    <n v="7"/>
    <x v="6"/>
    <n v="5500"/>
    <n v="16"/>
    <x v="1"/>
    <m/>
  </r>
  <r>
    <n v="3"/>
    <m/>
    <x v="2"/>
    <x v="0"/>
    <x v="0"/>
    <s v="two"/>
    <x v="0"/>
    <s v="rwd"/>
    <s v="rear"/>
    <n v="89.5"/>
    <n v="168.9"/>
    <n v="65"/>
    <n v="51.6"/>
    <n v="2756"/>
    <s v="ohcf"/>
    <x v="1"/>
    <x v="3"/>
    <s v="mpfi"/>
    <n v="3.74"/>
    <n v="2.9"/>
    <n v="9.5"/>
    <x v="2"/>
    <n v="5900"/>
    <n v="17"/>
    <x v="2"/>
    <n v="34028"/>
  </r>
  <r>
    <n v="3"/>
    <m/>
    <x v="2"/>
    <x v="0"/>
    <x v="0"/>
    <s v="two"/>
    <x v="0"/>
    <s v="rwd"/>
    <s v="rear"/>
    <n v="89.5"/>
    <n v="168.9"/>
    <n v="65"/>
    <n v="51.6"/>
    <n v="2756"/>
    <s v="ohcf"/>
    <x v="1"/>
    <x v="3"/>
    <s v="mpfi"/>
    <n v="3.74"/>
    <n v="2.9"/>
    <n v="9.5"/>
    <x v="2"/>
    <n v="5900"/>
    <n v="17"/>
    <x v="2"/>
    <n v="32528"/>
  </r>
  <r>
    <n v="0"/>
    <n v="145"/>
    <x v="3"/>
    <x v="0"/>
    <x v="0"/>
    <s v="four"/>
    <x v="1"/>
    <s v="rwd"/>
    <s v="front"/>
    <n v="113"/>
    <n v="199.6"/>
    <n v="69.599999999999994"/>
    <n v="52.8"/>
    <n v="4066"/>
    <s v="dohc"/>
    <x v="1"/>
    <x v="5"/>
    <s v="mpfi"/>
    <n v="3.63"/>
    <n v="4.17"/>
    <n v="8.1"/>
    <x v="4"/>
    <n v="4750"/>
    <n v="15"/>
    <x v="5"/>
    <n v="32250"/>
  </r>
  <r>
    <n v="-1"/>
    <n v="93"/>
    <x v="0"/>
    <x v="1"/>
    <x v="1"/>
    <s v="four"/>
    <x v="1"/>
    <s v="rwd"/>
    <s v="front"/>
    <n v="115.6"/>
    <n v="202.6"/>
    <n v="71.7"/>
    <n v="56.3"/>
    <n v="3770"/>
    <s v="ohc"/>
    <x v="3"/>
    <x v="8"/>
    <s v="idi"/>
    <n v="3.58"/>
    <n v="3.64"/>
    <n v="21.5"/>
    <x v="7"/>
    <n v="4350"/>
    <n v="22"/>
    <x v="2"/>
    <n v="31600"/>
  </r>
  <r>
    <n v="0"/>
    <m/>
    <x v="1"/>
    <x v="0"/>
    <x v="0"/>
    <s v="four"/>
    <x v="1"/>
    <s v="rwd"/>
    <s v="front"/>
    <n v="103.5"/>
    <n v="189"/>
    <n v="66.900000000000006"/>
    <n v="55.7"/>
    <n v="3230"/>
    <s v="ohc"/>
    <x v="1"/>
    <x v="1"/>
    <s v="mpfi"/>
    <n v="3.62"/>
    <n v="3.39"/>
    <n v="8"/>
    <x v="1"/>
    <n v="5400"/>
    <n v="16"/>
    <x v="1"/>
    <n v="30760"/>
  </r>
  <r>
    <n v="-1"/>
    <n v="93"/>
    <x v="0"/>
    <x v="1"/>
    <x v="1"/>
    <s v="four"/>
    <x v="4"/>
    <s v="rwd"/>
    <s v="front"/>
    <n v="110"/>
    <n v="190.9"/>
    <n v="70.3"/>
    <n v="58.7"/>
    <n v="3750"/>
    <s v="ohc"/>
    <x v="3"/>
    <x v="8"/>
    <s v="idi"/>
    <n v="3.58"/>
    <n v="3.64"/>
    <n v="21.5"/>
    <x v="7"/>
    <n v="4350"/>
    <n v="22"/>
    <x v="2"/>
    <n v="28248"/>
  </r>
  <r>
    <n v="0"/>
    <n v="93"/>
    <x v="0"/>
    <x v="1"/>
    <x v="1"/>
    <s v="two"/>
    <x v="0"/>
    <s v="rwd"/>
    <s v="front"/>
    <n v="106.7"/>
    <n v="187.5"/>
    <n v="70.3"/>
    <n v="54.9"/>
    <n v="3495"/>
    <s v="ohc"/>
    <x v="3"/>
    <x v="8"/>
    <s v="idi"/>
    <n v="3.58"/>
    <n v="3.64"/>
    <n v="21.5"/>
    <x v="7"/>
    <n v="4350"/>
    <n v="22"/>
    <x v="2"/>
    <n v="28176"/>
  </r>
  <r>
    <n v="-1"/>
    <n v="93"/>
    <x v="0"/>
    <x v="1"/>
    <x v="1"/>
    <s v="four"/>
    <x v="1"/>
    <s v="rwd"/>
    <s v="front"/>
    <n v="110"/>
    <n v="190.9"/>
    <n v="70.3"/>
    <n v="56.5"/>
    <n v="3515"/>
    <s v="ohc"/>
    <x v="3"/>
    <x v="8"/>
    <s v="idi"/>
    <n v="3.58"/>
    <n v="3.64"/>
    <n v="21.5"/>
    <x v="7"/>
    <n v="4350"/>
    <n v="22"/>
    <x v="2"/>
    <n v="25552"/>
  </r>
  <r>
    <n v="1"/>
    <m/>
    <x v="1"/>
    <x v="0"/>
    <x v="0"/>
    <s v="four"/>
    <x v="1"/>
    <s v="rwd"/>
    <s v="front"/>
    <n v="103.5"/>
    <n v="189"/>
    <n v="66.900000000000006"/>
    <n v="55.7"/>
    <n v="3055"/>
    <s v="ohc"/>
    <x v="1"/>
    <x v="9"/>
    <s v="mpfi"/>
    <n v="3.31"/>
    <n v="3.19"/>
    <n v="9"/>
    <x v="8"/>
    <n v="4250"/>
    <n v="20"/>
    <x v="2"/>
    <n v="24565"/>
  </r>
  <r>
    <n v="1"/>
    <n v="158"/>
    <x v="4"/>
    <x v="0"/>
    <x v="1"/>
    <s v="four"/>
    <x v="1"/>
    <s v="fwd"/>
    <s v="front"/>
    <n v="105.8"/>
    <n v="192.7"/>
    <n v="71.400000000000006"/>
    <n v="55.9"/>
    <n v="3086"/>
    <s v="ohc"/>
    <x v="3"/>
    <x v="7"/>
    <s v="mpfi"/>
    <n v="3.13"/>
    <n v="3.4"/>
    <n v="8.3000000000000007"/>
    <x v="9"/>
    <n v="5500"/>
    <n v="17"/>
    <x v="3"/>
    <n v="23875"/>
  </r>
  <r>
    <n v="-1"/>
    <n v="95"/>
    <x v="5"/>
    <x v="0"/>
    <x v="1"/>
    <s v="four"/>
    <x v="1"/>
    <s v="rwd"/>
    <s v="front"/>
    <n v="109.1"/>
    <n v="188.8"/>
    <n v="68.900000000000006"/>
    <n v="55.5"/>
    <n v="3062"/>
    <s v="ohc"/>
    <x v="4"/>
    <x v="10"/>
    <s v="mpfi"/>
    <n v="3.78"/>
    <n v="3.15"/>
    <n v="9.5"/>
    <x v="10"/>
    <n v="5400"/>
    <n v="19"/>
    <x v="2"/>
    <n v="22625"/>
  </r>
  <r>
    <n v="-1"/>
    <n v="95"/>
    <x v="5"/>
    <x v="1"/>
    <x v="1"/>
    <s v="four"/>
    <x v="1"/>
    <s v="rwd"/>
    <s v="front"/>
    <n v="109.1"/>
    <n v="188.8"/>
    <n v="68.900000000000006"/>
    <n v="55.5"/>
    <n v="3217"/>
    <s v="ohc"/>
    <x v="1"/>
    <x v="11"/>
    <s v="idi"/>
    <n v="3.01"/>
    <n v="3.4"/>
    <n v="23"/>
    <x v="11"/>
    <n v="4800"/>
    <n v="26"/>
    <x v="7"/>
    <n v="22470"/>
  </r>
  <r>
    <n v="3"/>
    <n v="186"/>
    <x v="2"/>
    <x v="0"/>
    <x v="0"/>
    <s v="two"/>
    <x v="3"/>
    <s v="rwd"/>
    <s v="front"/>
    <n v="94.5"/>
    <n v="168.9"/>
    <n v="68.3"/>
    <n v="50.2"/>
    <n v="2778"/>
    <s v="ohc"/>
    <x v="4"/>
    <x v="12"/>
    <s v="mpfi"/>
    <n v="3.94"/>
    <n v="3.11"/>
    <n v="9.5"/>
    <x v="12"/>
    <n v="5500"/>
    <n v="19"/>
    <x v="7"/>
    <n v="22018"/>
  </r>
  <r>
    <n v="-1"/>
    <n v="95"/>
    <x v="5"/>
    <x v="0"/>
    <x v="0"/>
    <s v="four"/>
    <x v="1"/>
    <s v="rwd"/>
    <s v="front"/>
    <n v="109.1"/>
    <n v="188.8"/>
    <n v="68.900000000000006"/>
    <n v="55.5"/>
    <n v="3012"/>
    <s v="ohcv"/>
    <x v="1"/>
    <x v="13"/>
    <s v="mpfi"/>
    <n v="3.58"/>
    <n v="2.87"/>
    <n v="8.8000000000000007"/>
    <x v="13"/>
    <n v="5500"/>
    <n v="18"/>
    <x v="8"/>
    <n v="21485"/>
  </r>
  <r>
    <n v="0"/>
    <n v="188"/>
    <x v="1"/>
    <x v="0"/>
    <x v="0"/>
    <s v="four"/>
    <x v="1"/>
    <s v="rwd"/>
    <s v="front"/>
    <n v="101.2"/>
    <n v="176.8"/>
    <n v="64.8"/>
    <n v="54.3"/>
    <n v="2765"/>
    <s v="ohc"/>
    <x v="1"/>
    <x v="9"/>
    <s v="mpfi"/>
    <n v="3.31"/>
    <n v="3.19"/>
    <n v="9"/>
    <x v="8"/>
    <n v="4250"/>
    <n v="21"/>
    <x v="9"/>
    <n v="21105"/>
  </r>
  <r>
    <n v="0"/>
    <n v="188"/>
    <x v="1"/>
    <x v="0"/>
    <x v="0"/>
    <s v="two"/>
    <x v="1"/>
    <s v="rwd"/>
    <s v="front"/>
    <n v="101.2"/>
    <n v="176.8"/>
    <n v="64.8"/>
    <n v="54.3"/>
    <n v="2710"/>
    <s v="ohc"/>
    <x v="1"/>
    <x v="9"/>
    <s v="mpfi"/>
    <n v="3.31"/>
    <n v="3.19"/>
    <n v="9"/>
    <x v="8"/>
    <n v="4250"/>
    <n v="21"/>
    <x v="9"/>
    <n v="20970"/>
  </r>
  <r>
    <n v="3"/>
    <n v="194"/>
    <x v="6"/>
    <x v="0"/>
    <x v="1"/>
    <s v="two"/>
    <x v="3"/>
    <s v="rwd"/>
    <s v="front"/>
    <n v="91.3"/>
    <n v="170.7"/>
    <n v="67.900000000000006"/>
    <n v="49.7"/>
    <n v="3139"/>
    <s v="ohcv"/>
    <x v="1"/>
    <x v="14"/>
    <s v="mpfi"/>
    <n v="3.43"/>
    <n v="3.27"/>
    <n v="7.8"/>
    <x v="14"/>
    <n v="5200"/>
    <n v="17"/>
    <x v="8"/>
    <n v="19699"/>
  </r>
  <r>
    <n v="-1"/>
    <n v="95"/>
    <x v="5"/>
    <x v="0"/>
    <x v="1"/>
    <s v="four"/>
    <x v="1"/>
    <s v="rwd"/>
    <s v="front"/>
    <n v="109.1"/>
    <n v="188.8"/>
    <n v="68.8"/>
    <n v="55.5"/>
    <n v="3049"/>
    <s v="ohc"/>
    <x v="4"/>
    <x v="10"/>
    <s v="mpfi"/>
    <n v="3.78"/>
    <n v="3.15"/>
    <n v="8.6999999999999993"/>
    <x v="6"/>
    <n v="5300"/>
    <n v="19"/>
    <x v="2"/>
    <n v="19045"/>
  </r>
  <r>
    <n v="-1"/>
    <n v="74"/>
    <x v="5"/>
    <x v="0"/>
    <x v="1"/>
    <s v="four"/>
    <x v="4"/>
    <s v="rwd"/>
    <s v="front"/>
    <n v="104.3"/>
    <n v="188.8"/>
    <n v="67.2"/>
    <n v="57.5"/>
    <n v="3157"/>
    <s v="ohc"/>
    <x v="4"/>
    <x v="15"/>
    <s v="mpfi"/>
    <n v="3.62"/>
    <n v="3.15"/>
    <n v="7.5"/>
    <x v="15"/>
    <n v="5100"/>
    <n v="17"/>
    <x v="1"/>
    <n v="18950"/>
  </r>
  <r>
    <n v="1"/>
    <m/>
    <x v="4"/>
    <x v="0"/>
    <x v="0"/>
    <s v="four"/>
    <x v="4"/>
    <s v="fwd"/>
    <s v="front"/>
    <n v="105.8"/>
    <n v="192.7"/>
    <n v="71.400000000000006"/>
    <n v="55.7"/>
    <n v="2954"/>
    <s v="ohc"/>
    <x v="3"/>
    <x v="16"/>
    <s v="mpfi"/>
    <n v="3.19"/>
    <n v="3.4"/>
    <n v="8.5"/>
    <x v="16"/>
    <n v="5500"/>
    <n v="19"/>
    <x v="2"/>
    <n v="18920"/>
  </r>
  <r>
    <n v="2"/>
    <n v="104"/>
    <x v="7"/>
    <x v="0"/>
    <x v="1"/>
    <s v="four"/>
    <x v="1"/>
    <s v="fwd"/>
    <s v="front"/>
    <n v="99.1"/>
    <n v="186.6"/>
    <n v="66.5"/>
    <n v="56.1"/>
    <n v="2847"/>
    <s v="dohc"/>
    <x v="4"/>
    <x v="17"/>
    <s v="mpfi"/>
    <n v="3.54"/>
    <n v="3.07"/>
    <n v="9"/>
    <x v="6"/>
    <n v="5500"/>
    <n v="19"/>
    <x v="10"/>
    <n v="18620"/>
  </r>
  <r>
    <n v="-2"/>
    <n v="103"/>
    <x v="5"/>
    <x v="0"/>
    <x v="1"/>
    <s v="four"/>
    <x v="1"/>
    <s v="rwd"/>
    <s v="front"/>
    <n v="104.3"/>
    <n v="188.8"/>
    <n v="67.2"/>
    <n v="56.2"/>
    <n v="3045"/>
    <s v="ohc"/>
    <x v="4"/>
    <x v="15"/>
    <s v="mpfi"/>
    <n v="3.62"/>
    <n v="3.15"/>
    <n v="7.5"/>
    <x v="15"/>
    <n v="5100"/>
    <n v="17"/>
    <x v="1"/>
    <n v="18420"/>
  </r>
  <r>
    <n v="1"/>
    <n v="231"/>
    <x v="6"/>
    <x v="0"/>
    <x v="0"/>
    <s v="two"/>
    <x v="3"/>
    <s v="rwd"/>
    <s v="front"/>
    <n v="99.2"/>
    <n v="178.5"/>
    <n v="67.900000000000006"/>
    <n v="49.7"/>
    <n v="3139"/>
    <s v="ohcv"/>
    <x v="1"/>
    <x v="14"/>
    <s v="mpfi"/>
    <n v="3.43"/>
    <n v="3.27"/>
    <n v="9"/>
    <x v="6"/>
    <n v="5200"/>
    <n v="19"/>
    <x v="2"/>
    <n v="18399"/>
  </r>
  <r>
    <n v="0"/>
    <m/>
    <x v="8"/>
    <x v="1"/>
    <x v="0"/>
    <s v="four"/>
    <x v="1"/>
    <s v="rwd"/>
    <s v="front"/>
    <n v="104.9"/>
    <n v="175"/>
    <n v="66.099999999999994"/>
    <n v="54.4"/>
    <n v="2700"/>
    <s v="ohc"/>
    <x v="4"/>
    <x v="18"/>
    <s v="idi"/>
    <n v="3.43"/>
    <n v="3.64"/>
    <n v="22"/>
    <x v="17"/>
    <n v="4200"/>
    <n v="31"/>
    <x v="11"/>
    <n v="18344"/>
  </r>
  <r>
    <n v="0"/>
    <n v="118"/>
    <x v="8"/>
    <x v="0"/>
    <x v="0"/>
    <s v="four"/>
    <x v="1"/>
    <s v="rwd"/>
    <s v="front"/>
    <n v="104.9"/>
    <n v="175"/>
    <n v="66.099999999999994"/>
    <n v="54.4"/>
    <n v="2670"/>
    <s v="ohc"/>
    <x v="4"/>
    <x v="19"/>
    <s v="mpfi"/>
    <n v="3.76"/>
    <n v="3.16"/>
    <n v="8"/>
    <x v="18"/>
    <n v="5000"/>
    <n v="19"/>
    <x v="7"/>
    <n v="18280"/>
  </r>
  <r>
    <n v="0"/>
    <n v="161"/>
    <x v="9"/>
    <x v="0"/>
    <x v="1"/>
    <s v="four"/>
    <x v="1"/>
    <s v="rwd"/>
    <s v="front"/>
    <n v="108"/>
    <n v="186.7"/>
    <n v="68.3"/>
    <n v="56"/>
    <n v="3130"/>
    <s v="l"/>
    <x v="4"/>
    <x v="18"/>
    <s v="mpfi"/>
    <n v="3.61"/>
    <n v="3.21"/>
    <n v="7"/>
    <x v="19"/>
    <n v="5600"/>
    <n v="18"/>
    <x v="12"/>
    <n v="18150"/>
  </r>
  <r>
    <n v="3"/>
    <n v="150"/>
    <x v="7"/>
    <x v="0"/>
    <x v="1"/>
    <s v="two"/>
    <x v="3"/>
    <s v="fwd"/>
    <s v="front"/>
    <n v="99.1"/>
    <n v="186.6"/>
    <n v="66.5"/>
    <n v="56.1"/>
    <n v="2808"/>
    <s v="dohc"/>
    <x v="4"/>
    <x v="17"/>
    <s v="mpfi"/>
    <n v="3.54"/>
    <n v="3.07"/>
    <n v="9"/>
    <x v="6"/>
    <n v="5500"/>
    <n v="19"/>
    <x v="10"/>
    <n v="18150"/>
  </r>
  <r>
    <n v="0"/>
    <n v="161"/>
    <x v="9"/>
    <x v="1"/>
    <x v="1"/>
    <s v="four"/>
    <x v="1"/>
    <s v="rwd"/>
    <s v="front"/>
    <n v="107.9"/>
    <n v="186.7"/>
    <n v="68.400000000000006"/>
    <n v="56.7"/>
    <n v="3252"/>
    <s v="l"/>
    <x v="4"/>
    <x v="20"/>
    <s v="idi"/>
    <n v="3.7"/>
    <n v="3.52"/>
    <n v="21"/>
    <x v="20"/>
    <n v="4150"/>
    <n v="28"/>
    <x v="13"/>
    <n v="17950"/>
  </r>
  <r>
    <n v="1"/>
    <n v="158"/>
    <x v="4"/>
    <x v="0"/>
    <x v="0"/>
    <s v="four"/>
    <x v="1"/>
    <s v="fwd"/>
    <s v="front"/>
    <n v="105.8"/>
    <n v="192.7"/>
    <n v="71.400000000000006"/>
    <n v="55.7"/>
    <n v="2844"/>
    <s v="ohc"/>
    <x v="3"/>
    <x v="16"/>
    <s v="mpfi"/>
    <n v="3.19"/>
    <n v="3.4"/>
    <n v="8.5"/>
    <x v="16"/>
    <n v="5500"/>
    <n v="19"/>
    <x v="2"/>
    <n v="17710"/>
  </r>
  <r>
    <n v="2"/>
    <n v="134"/>
    <x v="10"/>
    <x v="0"/>
    <x v="0"/>
    <s v="two"/>
    <x v="2"/>
    <s v="rwd"/>
    <s v="front"/>
    <n v="98.4"/>
    <n v="176.2"/>
    <n v="65.599999999999994"/>
    <n v="53"/>
    <n v="2975"/>
    <s v="ohc"/>
    <x v="4"/>
    <x v="21"/>
    <s v="mpfi"/>
    <n v="3.62"/>
    <n v="3.5"/>
    <n v="9.3000000000000007"/>
    <x v="21"/>
    <n v="4800"/>
    <n v="24"/>
    <x v="14"/>
    <n v="17669"/>
  </r>
  <r>
    <n v="2"/>
    <n v="164"/>
    <x v="4"/>
    <x v="0"/>
    <x v="0"/>
    <s v="four"/>
    <x v="1"/>
    <s v="4wd"/>
    <s v="front"/>
    <n v="99.4"/>
    <n v="176.6"/>
    <n v="66.400000000000006"/>
    <n v="54.3"/>
    <n v="2824"/>
    <s v="ohc"/>
    <x v="3"/>
    <x v="16"/>
    <s v="mpfi"/>
    <n v="3.19"/>
    <n v="3.4"/>
    <n v="8"/>
    <x v="22"/>
    <n v="5500"/>
    <n v="18"/>
    <x v="1"/>
    <n v="17450"/>
  </r>
  <r>
    <n v="3"/>
    <n v="194"/>
    <x v="6"/>
    <x v="0"/>
    <x v="0"/>
    <s v="two"/>
    <x v="3"/>
    <s v="rwd"/>
    <s v="front"/>
    <n v="91.3"/>
    <n v="170.7"/>
    <n v="67.900000000000006"/>
    <n v="49.7"/>
    <n v="3071"/>
    <s v="ohcv"/>
    <x v="1"/>
    <x v="14"/>
    <s v="mpfi"/>
    <n v="3.43"/>
    <n v="3.27"/>
    <n v="9"/>
    <x v="6"/>
    <n v="5200"/>
    <n v="19"/>
    <x v="2"/>
    <n v="17199"/>
  </r>
  <r>
    <n v="0"/>
    <m/>
    <x v="9"/>
    <x v="1"/>
    <x v="1"/>
    <s v="four"/>
    <x v="4"/>
    <s v="rwd"/>
    <s v="front"/>
    <n v="114.2"/>
    <n v="198.9"/>
    <n v="68.400000000000006"/>
    <n v="58.7"/>
    <n v="3485"/>
    <s v="l"/>
    <x v="4"/>
    <x v="20"/>
    <s v="idi"/>
    <n v="3.7"/>
    <n v="3.52"/>
    <n v="21"/>
    <x v="20"/>
    <n v="4150"/>
    <n v="25"/>
    <x v="2"/>
    <n v="17075"/>
  </r>
  <r>
    <n v="0"/>
    <n v="192"/>
    <x v="1"/>
    <x v="0"/>
    <x v="0"/>
    <s v="four"/>
    <x v="1"/>
    <s v="rwd"/>
    <s v="front"/>
    <n v="101.2"/>
    <n v="176.8"/>
    <n v="64.8"/>
    <n v="54.3"/>
    <n v="2395"/>
    <s v="ohc"/>
    <x v="4"/>
    <x v="22"/>
    <s v="mpfi"/>
    <n v="3.5"/>
    <n v="2.8"/>
    <n v="8.8000000000000007"/>
    <x v="23"/>
    <n v="5800"/>
    <n v="23"/>
    <x v="15"/>
    <n v="16925"/>
  </r>
  <r>
    <n v="1"/>
    <m/>
    <x v="11"/>
    <x v="0"/>
    <x v="0"/>
    <s v="two"/>
    <x v="1"/>
    <s v="fwd"/>
    <s v="front"/>
    <n v="94.5"/>
    <n v="155.9"/>
    <n v="63.6"/>
    <n v="52"/>
    <n v="1874"/>
    <s v="ohc"/>
    <x v="4"/>
    <x v="23"/>
    <s v="2bbl"/>
    <n v="3.03"/>
    <n v="3.11"/>
    <n v="9.6"/>
    <x v="24"/>
    <n v="5400"/>
    <n v="38"/>
    <x v="16"/>
    <m/>
  </r>
  <r>
    <n v="0"/>
    <m/>
    <x v="11"/>
    <x v="0"/>
    <x v="0"/>
    <s v="four"/>
    <x v="1"/>
    <s v="fwd"/>
    <s v="front"/>
    <n v="94.5"/>
    <n v="155.9"/>
    <n v="63.6"/>
    <n v="52"/>
    <n v="1909"/>
    <s v="ohc"/>
    <x v="4"/>
    <x v="23"/>
    <s v="2bbl"/>
    <n v="3.03"/>
    <n v="3.11"/>
    <n v="9.6"/>
    <x v="24"/>
    <n v="5400"/>
    <n v="38"/>
    <x v="16"/>
    <m/>
  </r>
  <r>
    <n v="0"/>
    <n v="161"/>
    <x v="9"/>
    <x v="1"/>
    <x v="1"/>
    <s v="four"/>
    <x v="1"/>
    <s v="rwd"/>
    <s v="front"/>
    <n v="107.9"/>
    <n v="186.7"/>
    <n v="68.400000000000006"/>
    <n v="56.7"/>
    <n v="3252"/>
    <s v="l"/>
    <x v="4"/>
    <x v="20"/>
    <s v="idi"/>
    <n v="3.7"/>
    <n v="3.52"/>
    <n v="21"/>
    <x v="20"/>
    <n v="4150"/>
    <n v="28"/>
    <x v="13"/>
    <n v="16900"/>
  </r>
  <r>
    <n v="-1"/>
    <n v="95"/>
    <x v="5"/>
    <x v="0"/>
    <x v="0"/>
    <s v="four"/>
    <x v="1"/>
    <s v="rwd"/>
    <s v="front"/>
    <n v="109.1"/>
    <n v="188.8"/>
    <n v="68.900000000000006"/>
    <n v="55.5"/>
    <n v="2952"/>
    <s v="ohc"/>
    <x v="4"/>
    <x v="10"/>
    <s v="mpfi"/>
    <n v="3.78"/>
    <n v="3.15"/>
    <n v="9.5"/>
    <x v="10"/>
    <n v="5400"/>
    <n v="23"/>
    <x v="9"/>
    <n v="16845"/>
  </r>
  <r>
    <n v="0"/>
    <m/>
    <x v="9"/>
    <x v="0"/>
    <x v="0"/>
    <s v="four"/>
    <x v="4"/>
    <s v="rwd"/>
    <s v="front"/>
    <n v="114.2"/>
    <n v="198.9"/>
    <n v="68.400000000000006"/>
    <n v="56.7"/>
    <n v="3285"/>
    <s v="l"/>
    <x v="4"/>
    <x v="24"/>
    <s v="mpfi"/>
    <n v="3.46"/>
    <n v="2.19"/>
    <n v="8.4"/>
    <x v="20"/>
    <n v="5000"/>
    <n v="19"/>
    <x v="12"/>
    <n v="16695"/>
  </r>
  <r>
    <n v="0"/>
    <n v="161"/>
    <x v="9"/>
    <x v="0"/>
    <x v="0"/>
    <s v="four"/>
    <x v="1"/>
    <s v="rwd"/>
    <s v="front"/>
    <n v="107.9"/>
    <n v="186.7"/>
    <n v="68.400000000000006"/>
    <n v="56.7"/>
    <n v="3075"/>
    <s v="l"/>
    <x v="4"/>
    <x v="24"/>
    <s v="mpfi"/>
    <n v="3.46"/>
    <n v="3.19"/>
    <n v="8.4"/>
    <x v="25"/>
    <n v="5000"/>
    <n v="19"/>
    <x v="12"/>
    <n v="16630"/>
  </r>
  <r>
    <n v="3"/>
    <n v="197"/>
    <x v="10"/>
    <x v="0"/>
    <x v="0"/>
    <s v="two"/>
    <x v="3"/>
    <s v="rwd"/>
    <s v="front"/>
    <n v="102.9"/>
    <n v="183.5"/>
    <n v="67.7"/>
    <n v="52"/>
    <n v="2976"/>
    <s v="dohc"/>
    <x v="1"/>
    <x v="25"/>
    <s v="mpfi"/>
    <n v="3.27"/>
    <n v="3.35"/>
    <n v="9.3000000000000007"/>
    <x v="26"/>
    <n v="5200"/>
    <n v="20"/>
    <x v="12"/>
    <n v="16558"/>
  </r>
  <r>
    <n v="-1"/>
    <n v="74"/>
    <x v="5"/>
    <x v="0"/>
    <x v="0"/>
    <s v="four"/>
    <x v="4"/>
    <s v="rwd"/>
    <s v="front"/>
    <n v="104.3"/>
    <n v="188.8"/>
    <n v="67.2"/>
    <n v="57.5"/>
    <n v="3042"/>
    <s v="ohc"/>
    <x v="4"/>
    <x v="10"/>
    <s v="mpfi"/>
    <n v="3.78"/>
    <n v="3.15"/>
    <n v="9.5"/>
    <x v="10"/>
    <n v="5400"/>
    <n v="24"/>
    <x v="9"/>
    <n v="16515"/>
  </r>
  <r>
    <n v="1"/>
    <m/>
    <x v="12"/>
    <x v="0"/>
    <x v="1"/>
    <s v="two"/>
    <x v="3"/>
    <s v="rwd"/>
    <s v="front"/>
    <n v="102.7"/>
    <n v="178.4"/>
    <n v="68"/>
    <n v="54.8"/>
    <n v="2910"/>
    <s v="ohc"/>
    <x v="4"/>
    <x v="19"/>
    <s v="mpfi"/>
    <n v="3.78"/>
    <n v="3.12"/>
    <n v="8"/>
    <x v="27"/>
    <n v="5000"/>
    <n v="19"/>
    <x v="12"/>
    <n v="16503"/>
  </r>
  <r>
    <n v="3"/>
    <m/>
    <x v="13"/>
    <x v="0"/>
    <x v="0"/>
    <s v="two"/>
    <x v="2"/>
    <s v="rwd"/>
    <s v="front"/>
    <n v="88.6"/>
    <n v="168.8"/>
    <n v="64.099999999999994"/>
    <n v="48.8"/>
    <n v="2548"/>
    <s v="dohc"/>
    <x v="4"/>
    <x v="15"/>
    <s v="mpfi"/>
    <n v="3.47"/>
    <n v="2.68"/>
    <n v="9"/>
    <x v="28"/>
    <n v="5000"/>
    <n v="21"/>
    <x v="7"/>
    <n v="16500"/>
  </r>
  <r>
    <n v="1"/>
    <m/>
    <x v="13"/>
    <x v="0"/>
    <x v="0"/>
    <s v="two"/>
    <x v="3"/>
    <s v="rwd"/>
    <s v="front"/>
    <n v="94.5"/>
    <n v="171.2"/>
    <n v="65.5"/>
    <n v="52.4"/>
    <n v="2823"/>
    <s v="ohcv"/>
    <x v="1"/>
    <x v="20"/>
    <s v="mpfi"/>
    <n v="2.68"/>
    <n v="3.47"/>
    <n v="9"/>
    <x v="29"/>
    <n v="5000"/>
    <n v="19"/>
    <x v="10"/>
    <n v="16500"/>
  </r>
  <r>
    <n v="2"/>
    <n v="192"/>
    <x v="1"/>
    <x v="0"/>
    <x v="0"/>
    <s v="two"/>
    <x v="1"/>
    <s v="rwd"/>
    <s v="front"/>
    <n v="101.2"/>
    <n v="176.8"/>
    <n v="64.8"/>
    <n v="54.3"/>
    <n v="2395"/>
    <s v="ohc"/>
    <x v="4"/>
    <x v="22"/>
    <s v="mpfi"/>
    <n v="3.5"/>
    <n v="2.8"/>
    <n v="8.8000000000000007"/>
    <x v="23"/>
    <n v="5800"/>
    <n v="23"/>
    <x v="15"/>
    <n v="16430"/>
  </r>
  <r>
    <n v="3"/>
    <n v="197"/>
    <x v="10"/>
    <x v="0"/>
    <x v="0"/>
    <s v="two"/>
    <x v="3"/>
    <s v="rwd"/>
    <s v="front"/>
    <n v="102.9"/>
    <n v="183.5"/>
    <n v="67.7"/>
    <n v="52"/>
    <n v="3016"/>
    <s v="dohc"/>
    <x v="1"/>
    <x v="25"/>
    <s v="mpfi"/>
    <n v="3.27"/>
    <n v="3.35"/>
    <n v="9.3000000000000007"/>
    <x v="26"/>
    <n v="5200"/>
    <n v="19"/>
    <x v="12"/>
    <n v="15998"/>
  </r>
  <r>
    <n v="-2"/>
    <n v="103"/>
    <x v="5"/>
    <x v="0"/>
    <x v="0"/>
    <s v="four"/>
    <x v="1"/>
    <s v="rwd"/>
    <s v="front"/>
    <n v="104.3"/>
    <n v="188.8"/>
    <n v="67.2"/>
    <n v="56.2"/>
    <n v="2935"/>
    <s v="ohc"/>
    <x v="4"/>
    <x v="10"/>
    <s v="mpfi"/>
    <n v="3.78"/>
    <n v="3.15"/>
    <n v="9.5"/>
    <x v="10"/>
    <n v="5400"/>
    <n v="24"/>
    <x v="9"/>
    <n v="15985"/>
  </r>
  <r>
    <n v="-1"/>
    <m/>
    <x v="10"/>
    <x v="0"/>
    <x v="0"/>
    <s v="four"/>
    <x v="4"/>
    <s v="rwd"/>
    <s v="front"/>
    <n v="104.5"/>
    <n v="187.8"/>
    <n v="66.5"/>
    <n v="54.1"/>
    <n v="3151"/>
    <s v="dohc"/>
    <x v="1"/>
    <x v="26"/>
    <s v="mpfi"/>
    <n v="3.27"/>
    <n v="3.35"/>
    <n v="9.1999999999999993"/>
    <x v="30"/>
    <n v="5200"/>
    <n v="19"/>
    <x v="12"/>
    <n v="15750"/>
  </r>
  <r>
    <n v="-1"/>
    <n v="90"/>
    <x v="10"/>
    <x v="0"/>
    <x v="0"/>
    <s v="four"/>
    <x v="1"/>
    <s v="rwd"/>
    <s v="front"/>
    <n v="104.5"/>
    <n v="187.8"/>
    <n v="66.5"/>
    <n v="54.1"/>
    <n v="3131"/>
    <s v="dohc"/>
    <x v="1"/>
    <x v="25"/>
    <s v="mpfi"/>
    <n v="3.27"/>
    <n v="3.35"/>
    <n v="9.1999999999999993"/>
    <x v="30"/>
    <n v="5200"/>
    <n v="20"/>
    <x v="12"/>
    <n v="15690"/>
  </r>
  <r>
    <n v="3"/>
    <n v="150"/>
    <x v="8"/>
    <x v="0"/>
    <x v="0"/>
    <s v="two"/>
    <x v="3"/>
    <s v="rwd"/>
    <s v="front"/>
    <n v="95.3"/>
    <n v="169"/>
    <n v="65.7"/>
    <n v="49.6"/>
    <n v="2500"/>
    <s v="rotor"/>
    <x v="5"/>
    <x v="27"/>
    <s v="mpfi"/>
    <n v="3.3297512440000001"/>
    <n v="3.3"/>
    <n v="9.4"/>
    <x v="31"/>
    <n v="6000"/>
    <n v="16"/>
    <x v="8"/>
    <n v="15645"/>
  </r>
  <r>
    <n v="0"/>
    <n v="161"/>
    <x v="9"/>
    <x v="0"/>
    <x v="0"/>
    <s v="four"/>
    <x v="1"/>
    <s v="rwd"/>
    <s v="front"/>
    <n v="107.9"/>
    <n v="186.7"/>
    <n v="68.400000000000006"/>
    <n v="56.7"/>
    <n v="3075"/>
    <s v="l"/>
    <x v="4"/>
    <x v="24"/>
    <s v="mpfi"/>
    <n v="3.46"/>
    <n v="2.19"/>
    <n v="8.4"/>
    <x v="20"/>
    <n v="5000"/>
    <n v="19"/>
    <x v="12"/>
    <n v="15580"/>
  </r>
  <r>
    <n v="2"/>
    <n v="104"/>
    <x v="7"/>
    <x v="0"/>
    <x v="0"/>
    <s v="four"/>
    <x v="1"/>
    <s v="fwd"/>
    <s v="front"/>
    <n v="99.1"/>
    <n v="186.6"/>
    <n v="66.5"/>
    <n v="56.1"/>
    <n v="2758"/>
    <s v="ohc"/>
    <x v="4"/>
    <x v="17"/>
    <s v="mpfi"/>
    <n v="3.54"/>
    <n v="3.07"/>
    <n v="9.3000000000000007"/>
    <x v="16"/>
    <n v="5250"/>
    <n v="21"/>
    <x v="9"/>
    <n v="15510"/>
  </r>
  <r>
    <n v="2"/>
    <m/>
    <x v="4"/>
    <x v="0"/>
    <x v="0"/>
    <s v="two"/>
    <x v="1"/>
    <s v="fwd"/>
    <s v="front"/>
    <n v="99.8"/>
    <n v="177.3"/>
    <n v="66.3"/>
    <n v="53.1"/>
    <n v="2507"/>
    <s v="ohc"/>
    <x v="3"/>
    <x v="16"/>
    <s v="mpfi"/>
    <n v="3.19"/>
    <n v="3.4"/>
    <n v="8.5"/>
    <x v="16"/>
    <n v="5500"/>
    <n v="19"/>
    <x v="2"/>
    <n v="15250"/>
  </r>
  <r>
    <n v="3"/>
    <n v="150"/>
    <x v="7"/>
    <x v="0"/>
    <x v="0"/>
    <s v="two"/>
    <x v="3"/>
    <s v="fwd"/>
    <s v="front"/>
    <n v="99.1"/>
    <n v="186.6"/>
    <n v="66.5"/>
    <n v="56.1"/>
    <n v="2707"/>
    <s v="ohc"/>
    <x v="4"/>
    <x v="17"/>
    <s v="mpfi"/>
    <n v="2.54"/>
    <n v="2.0699999999999998"/>
    <n v="9.3000000000000007"/>
    <x v="16"/>
    <n v="5250"/>
    <n v="21"/>
    <x v="9"/>
    <n v="15040"/>
  </r>
  <r>
    <n v="3"/>
    <m/>
    <x v="14"/>
    <x v="0"/>
    <x v="1"/>
    <s v="two"/>
    <x v="3"/>
    <s v="fwd"/>
    <s v="front"/>
    <n v="95.9"/>
    <n v="173.2"/>
    <n v="66.3"/>
    <n v="50.2"/>
    <n v="2921"/>
    <s v="ohc"/>
    <x v="4"/>
    <x v="28"/>
    <s v="spdi"/>
    <n v="3.59"/>
    <n v="3.86"/>
    <n v="7"/>
    <x v="32"/>
    <n v="5000"/>
    <n v="19"/>
    <x v="12"/>
    <n v="14869"/>
  </r>
  <r>
    <n v="3"/>
    <m/>
    <x v="14"/>
    <x v="0"/>
    <x v="1"/>
    <s v="two"/>
    <x v="3"/>
    <s v="fwd"/>
    <s v="front"/>
    <n v="95.9"/>
    <n v="173.2"/>
    <n v="66.3"/>
    <n v="50.2"/>
    <n v="2926"/>
    <s v="ohc"/>
    <x v="4"/>
    <x v="28"/>
    <s v="spdi"/>
    <n v="3.59"/>
    <n v="3.86"/>
    <n v="7"/>
    <x v="32"/>
    <n v="5000"/>
    <n v="19"/>
    <x v="12"/>
    <n v="14489"/>
  </r>
  <r>
    <n v="0"/>
    <n v="108"/>
    <x v="6"/>
    <x v="0"/>
    <x v="0"/>
    <s v="four"/>
    <x v="4"/>
    <s v="fwd"/>
    <s v="front"/>
    <n v="100.4"/>
    <n v="184.6"/>
    <n v="66.5"/>
    <n v="56.1"/>
    <n v="3296"/>
    <s v="ohcv"/>
    <x v="1"/>
    <x v="14"/>
    <s v="mpfi"/>
    <n v="3.43"/>
    <n v="3.27"/>
    <n v="9"/>
    <x v="33"/>
    <n v="5200"/>
    <n v="17"/>
    <x v="1"/>
    <n v="14399"/>
  </r>
  <r>
    <n v="2"/>
    <n v="164"/>
    <x v="4"/>
    <x v="0"/>
    <x v="0"/>
    <s v="four"/>
    <x v="1"/>
    <s v="fwd"/>
    <s v="front"/>
    <n v="99.8"/>
    <n v="176.6"/>
    <n v="66.2"/>
    <n v="54.3"/>
    <n v="2337"/>
    <s v="ohc"/>
    <x v="4"/>
    <x v="29"/>
    <s v="mpfi"/>
    <n v="3.19"/>
    <n v="3.4"/>
    <n v="10"/>
    <x v="34"/>
    <n v="5500"/>
    <n v="24"/>
    <x v="14"/>
    <n v="13950"/>
  </r>
  <r>
    <n v="0"/>
    <m/>
    <x v="9"/>
    <x v="1"/>
    <x v="1"/>
    <s v="four"/>
    <x v="4"/>
    <s v="rwd"/>
    <s v="front"/>
    <n v="114.2"/>
    <n v="198.9"/>
    <n v="68.400000000000006"/>
    <n v="58.7"/>
    <n v="3430"/>
    <s v="l"/>
    <x v="4"/>
    <x v="20"/>
    <s v="idi"/>
    <n v="3.7"/>
    <n v="3.52"/>
    <n v="21"/>
    <x v="20"/>
    <n v="4150"/>
    <n v="25"/>
    <x v="2"/>
    <n v="13860"/>
  </r>
  <r>
    <n v="0"/>
    <m/>
    <x v="15"/>
    <x v="1"/>
    <x v="1"/>
    <s v="four"/>
    <x v="1"/>
    <s v="fwd"/>
    <s v="front"/>
    <n v="100.4"/>
    <n v="180.2"/>
    <n v="66.900000000000006"/>
    <n v="55.1"/>
    <n v="2579"/>
    <s v="ohc"/>
    <x v="4"/>
    <x v="30"/>
    <s v="idi"/>
    <n v="3.01"/>
    <n v="3.4"/>
    <n v="23"/>
    <x v="35"/>
    <n v="4500"/>
    <n v="33"/>
    <x v="17"/>
    <n v="13845"/>
  </r>
  <r>
    <n v="3"/>
    <n v="150"/>
    <x v="8"/>
    <x v="0"/>
    <x v="0"/>
    <s v="two"/>
    <x v="3"/>
    <s v="rwd"/>
    <s v="front"/>
    <n v="95.3"/>
    <n v="169"/>
    <n v="65.7"/>
    <n v="49.6"/>
    <n v="2385"/>
    <s v="rotor"/>
    <x v="5"/>
    <x v="31"/>
    <s v="4bbl"/>
    <n v="3.3297512440000001"/>
    <n v="3.3"/>
    <n v="9.4"/>
    <x v="23"/>
    <n v="6000"/>
    <n v="17"/>
    <x v="8"/>
    <n v="13645"/>
  </r>
  <r>
    <n v="0"/>
    <n v="128"/>
    <x v="6"/>
    <x v="0"/>
    <x v="0"/>
    <s v="four"/>
    <x v="1"/>
    <s v="fwd"/>
    <s v="front"/>
    <n v="100.4"/>
    <n v="181.7"/>
    <n v="66.5"/>
    <n v="55.1"/>
    <n v="3095"/>
    <s v="ohcv"/>
    <x v="1"/>
    <x v="14"/>
    <s v="mpfi"/>
    <n v="3.43"/>
    <n v="3.27"/>
    <n v="9"/>
    <x v="33"/>
    <n v="5200"/>
    <n v="17"/>
    <x v="1"/>
    <n v="13499"/>
  </r>
  <r>
    <n v="0"/>
    <n v="108"/>
    <x v="6"/>
    <x v="0"/>
    <x v="0"/>
    <s v="four"/>
    <x v="1"/>
    <s v="fwd"/>
    <s v="front"/>
    <n v="100.4"/>
    <n v="184.6"/>
    <n v="66.5"/>
    <n v="55.1"/>
    <n v="3060"/>
    <s v="ohcv"/>
    <x v="1"/>
    <x v="14"/>
    <s v="mpfi"/>
    <n v="3.43"/>
    <n v="3.27"/>
    <n v="9"/>
    <x v="33"/>
    <n v="5200"/>
    <n v="19"/>
    <x v="2"/>
    <n v="13499"/>
  </r>
  <r>
    <n v="3"/>
    <m/>
    <x v="13"/>
    <x v="0"/>
    <x v="0"/>
    <s v="two"/>
    <x v="2"/>
    <s v="rwd"/>
    <s v="front"/>
    <n v="88.6"/>
    <n v="168.8"/>
    <n v="64.099999999999994"/>
    <n v="48.8"/>
    <n v="2548"/>
    <s v="dohc"/>
    <x v="4"/>
    <x v="15"/>
    <s v="mpfi"/>
    <n v="3.47"/>
    <n v="2.68"/>
    <n v="9"/>
    <x v="28"/>
    <n v="5000"/>
    <n v="21"/>
    <x v="7"/>
    <n v="13495"/>
  </r>
  <r>
    <n v="-1"/>
    <n v="74"/>
    <x v="5"/>
    <x v="0"/>
    <x v="0"/>
    <s v="four"/>
    <x v="4"/>
    <s v="rwd"/>
    <s v="front"/>
    <n v="104.3"/>
    <n v="188.8"/>
    <n v="67.2"/>
    <n v="57.5"/>
    <n v="3034"/>
    <s v="ohc"/>
    <x v="4"/>
    <x v="10"/>
    <s v="mpfi"/>
    <n v="3.78"/>
    <n v="3.15"/>
    <n v="9.5"/>
    <x v="10"/>
    <n v="5400"/>
    <n v="23"/>
    <x v="9"/>
    <n v="13415"/>
  </r>
  <r>
    <n v="0"/>
    <m/>
    <x v="15"/>
    <x v="0"/>
    <x v="0"/>
    <s v="four"/>
    <x v="1"/>
    <s v="fwd"/>
    <s v="front"/>
    <n v="100.4"/>
    <n v="180.2"/>
    <n v="66.900000000000006"/>
    <n v="55.1"/>
    <n v="2661"/>
    <s v="ohc"/>
    <x v="3"/>
    <x v="16"/>
    <s v="mpfi"/>
    <n v="3.19"/>
    <n v="3.4"/>
    <n v="8.5"/>
    <x v="16"/>
    <n v="5500"/>
    <n v="19"/>
    <x v="12"/>
    <n v="13295"/>
  </r>
  <r>
    <n v="0"/>
    <n v="161"/>
    <x v="9"/>
    <x v="1"/>
    <x v="1"/>
    <s v="four"/>
    <x v="1"/>
    <s v="rwd"/>
    <s v="front"/>
    <n v="107.9"/>
    <n v="186.7"/>
    <n v="68.400000000000006"/>
    <n v="56.7"/>
    <n v="3197"/>
    <s v="l"/>
    <x v="4"/>
    <x v="20"/>
    <s v="idi"/>
    <n v="3.7"/>
    <n v="3.52"/>
    <n v="21"/>
    <x v="20"/>
    <n v="4150"/>
    <n v="28"/>
    <x v="13"/>
    <n v="13200"/>
  </r>
  <r>
    <n v="3"/>
    <n v="145"/>
    <x v="16"/>
    <x v="0"/>
    <x v="1"/>
    <s v="two"/>
    <x v="3"/>
    <s v="fwd"/>
    <s v="front"/>
    <n v="95.9"/>
    <n v="173.2"/>
    <n v="66.3"/>
    <n v="50.2"/>
    <n v="2811"/>
    <s v="ohc"/>
    <x v="4"/>
    <x v="28"/>
    <s v="mfi"/>
    <n v="3.6"/>
    <n v="3.9"/>
    <n v="7"/>
    <x v="32"/>
    <n v="5000"/>
    <n v="19"/>
    <x v="12"/>
    <n v="12964"/>
  </r>
  <r>
    <n v="0"/>
    <n v="85"/>
    <x v="17"/>
    <x v="0"/>
    <x v="0"/>
    <s v="four"/>
    <x v="1"/>
    <s v="fwd"/>
    <s v="front"/>
    <n v="96.5"/>
    <n v="175.4"/>
    <n v="65.2"/>
    <n v="54.1"/>
    <n v="2465"/>
    <s v="ohc"/>
    <x v="4"/>
    <x v="32"/>
    <s v="mpfi"/>
    <n v="3.15"/>
    <n v="3.58"/>
    <n v="9"/>
    <x v="23"/>
    <n v="5800"/>
    <n v="24"/>
    <x v="9"/>
    <n v="12945"/>
  </r>
  <r>
    <n v="-2"/>
    <n v="103"/>
    <x v="5"/>
    <x v="0"/>
    <x v="0"/>
    <s v="four"/>
    <x v="1"/>
    <s v="rwd"/>
    <s v="front"/>
    <n v="104.3"/>
    <n v="188.8"/>
    <n v="67.2"/>
    <n v="56.2"/>
    <n v="2912"/>
    <s v="ohc"/>
    <x v="4"/>
    <x v="10"/>
    <s v="mpfi"/>
    <n v="3.78"/>
    <n v="3.15"/>
    <n v="9.5"/>
    <x v="10"/>
    <n v="5400"/>
    <n v="23"/>
    <x v="9"/>
    <n v="12940"/>
  </r>
  <r>
    <n v="3"/>
    <m/>
    <x v="18"/>
    <x v="0"/>
    <x v="1"/>
    <s v="two"/>
    <x v="3"/>
    <s v="rwd"/>
    <s v="front"/>
    <n v="95.9"/>
    <n v="173.2"/>
    <n v="66.3"/>
    <n v="50.2"/>
    <n v="2818"/>
    <s v="ohc"/>
    <x v="4"/>
    <x v="28"/>
    <s v="spdi"/>
    <n v="3.59"/>
    <n v="3.86"/>
    <n v="7"/>
    <x v="32"/>
    <n v="5000"/>
    <n v="19"/>
    <x v="12"/>
    <n v="12764"/>
  </r>
  <r>
    <n v="3"/>
    <m/>
    <x v="14"/>
    <x v="0"/>
    <x v="1"/>
    <s v="two"/>
    <x v="3"/>
    <s v="fwd"/>
    <s v="front"/>
    <n v="95.9"/>
    <n v="173.2"/>
    <n v="66.3"/>
    <n v="50.2"/>
    <n v="2833"/>
    <s v="ohc"/>
    <x v="4"/>
    <x v="28"/>
    <s v="spdi"/>
    <n v="3.58"/>
    <n v="3.86"/>
    <n v="7"/>
    <x v="32"/>
    <n v="5000"/>
    <n v="19"/>
    <x v="12"/>
    <n v="12629"/>
  </r>
  <r>
    <n v="0"/>
    <m/>
    <x v="9"/>
    <x v="0"/>
    <x v="0"/>
    <s v="four"/>
    <x v="4"/>
    <s v="rwd"/>
    <s v="front"/>
    <n v="114.2"/>
    <n v="198.9"/>
    <n v="68.400000000000006"/>
    <n v="58.7"/>
    <n v="3230"/>
    <s v="l"/>
    <x v="4"/>
    <x v="24"/>
    <s v="mpfi"/>
    <n v="3.46"/>
    <n v="3.19"/>
    <n v="8.4"/>
    <x v="25"/>
    <n v="5000"/>
    <n v="19"/>
    <x v="12"/>
    <n v="12440"/>
  </r>
  <r>
    <n v="0"/>
    <m/>
    <x v="15"/>
    <x v="0"/>
    <x v="0"/>
    <s v="four"/>
    <x v="4"/>
    <s v="fwd"/>
    <s v="front"/>
    <n v="100.4"/>
    <n v="183.1"/>
    <n v="66.900000000000006"/>
    <n v="55.1"/>
    <n v="2563"/>
    <s v="ohc"/>
    <x v="4"/>
    <x v="29"/>
    <s v="mpfi"/>
    <n v="3.19"/>
    <n v="3.4"/>
    <n v="9"/>
    <x v="36"/>
    <n v="5500"/>
    <n v="25"/>
    <x v="18"/>
    <n v="12290"/>
  </r>
  <r>
    <n v="2"/>
    <n v="104"/>
    <x v="7"/>
    <x v="0"/>
    <x v="0"/>
    <s v="four"/>
    <x v="1"/>
    <s v="fwd"/>
    <s v="front"/>
    <n v="99.1"/>
    <n v="186.6"/>
    <n v="66.5"/>
    <n v="56.1"/>
    <n v="2695"/>
    <s v="ohc"/>
    <x v="4"/>
    <x v="17"/>
    <s v="mpfi"/>
    <n v="3.54"/>
    <n v="3.07"/>
    <n v="9.3000000000000007"/>
    <x v="16"/>
    <n v="5250"/>
    <n v="21"/>
    <x v="9"/>
    <n v="12170"/>
  </r>
  <r>
    <n v="0"/>
    <n v="161"/>
    <x v="9"/>
    <x v="0"/>
    <x v="0"/>
    <s v="four"/>
    <x v="1"/>
    <s v="rwd"/>
    <s v="front"/>
    <n v="107.9"/>
    <n v="186.7"/>
    <n v="68.400000000000006"/>
    <n v="56.7"/>
    <n v="3020"/>
    <s v="l"/>
    <x v="4"/>
    <x v="24"/>
    <s v="mpfi"/>
    <n v="3.46"/>
    <n v="3.19"/>
    <n v="8.4"/>
    <x v="25"/>
    <n v="5000"/>
    <n v="19"/>
    <x v="12"/>
    <n v="11900"/>
  </r>
  <r>
    <n v="3"/>
    <n v="150"/>
    <x v="7"/>
    <x v="0"/>
    <x v="0"/>
    <s v="two"/>
    <x v="3"/>
    <s v="fwd"/>
    <s v="front"/>
    <n v="99.1"/>
    <n v="186.6"/>
    <n v="66.5"/>
    <n v="56.1"/>
    <n v="2658"/>
    <s v="ohc"/>
    <x v="4"/>
    <x v="17"/>
    <s v="mpfi"/>
    <n v="3.54"/>
    <n v="3.07"/>
    <n v="9.31"/>
    <x v="16"/>
    <n v="5250"/>
    <n v="21"/>
    <x v="9"/>
    <n v="11850"/>
  </r>
  <r>
    <n v="3"/>
    <n v="150"/>
    <x v="8"/>
    <x v="0"/>
    <x v="0"/>
    <s v="two"/>
    <x v="3"/>
    <s v="rwd"/>
    <s v="front"/>
    <n v="95.3"/>
    <n v="169"/>
    <n v="65.7"/>
    <n v="49.6"/>
    <n v="2380"/>
    <s v="rotor"/>
    <x v="5"/>
    <x v="31"/>
    <s v="4bbl"/>
    <n v="3.3297512440000001"/>
    <n v="3.3"/>
    <n v="9.4"/>
    <x v="23"/>
    <n v="6000"/>
    <n v="17"/>
    <x v="8"/>
    <n v="11845"/>
  </r>
  <r>
    <n v="0"/>
    <n v="85"/>
    <x v="19"/>
    <x v="0"/>
    <x v="1"/>
    <s v="four"/>
    <x v="4"/>
    <s v="4wd"/>
    <s v="front"/>
    <n v="96.9"/>
    <n v="173.6"/>
    <n v="65.400000000000006"/>
    <n v="54.9"/>
    <n v="2650"/>
    <s v="ohcf"/>
    <x v="4"/>
    <x v="22"/>
    <s v="mpfi"/>
    <n v="3.62"/>
    <n v="2.64"/>
    <n v="7.7"/>
    <x v="28"/>
    <n v="4800"/>
    <n v="23"/>
    <x v="8"/>
    <n v="11694"/>
  </r>
  <r>
    <n v="3"/>
    <m/>
    <x v="15"/>
    <x v="0"/>
    <x v="0"/>
    <s v="two"/>
    <x v="2"/>
    <s v="fwd"/>
    <s v="front"/>
    <n v="94.5"/>
    <n v="159.30000000000001"/>
    <n v="64.2"/>
    <n v="55.6"/>
    <n v="2254"/>
    <s v="ohc"/>
    <x v="4"/>
    <x v="29"/>
    <s v="mpfi"/>
    <n v="3.19"/>
    <n v="3.4"/>
    <n v="8.5"/>
    <x v="37"/>
    <n v="5500"/>
    <n v="24"/>
    <x v="15"/>
    <n v="11595"/>
  </r>
  <r>
    <n v="2"/>
    <n v="134"/>
    <x v="10"/>
    <x v="0"/>
    <x v="0"/>
    <s v="two"/>
    <x v="3"/>
    <s v="rwd"/>
    <s v="front"/>
    <n v="98.4"/>
    <n v="176.2"/>
    <n v="65.599999999999994"/>
    <n v="52"/>
    <n v="2714"/>
    <s v="ohc"/>
    <x v="4"/>
    <x v="21"/>
    <s v="mpfi"/>
    <n v="3.62"/>
    <n v="3.5"/>
    <n v="9.3000000000000007"/>
    <x v="21"/>
    <n v="4800"/>
    <n v="24"/>
    <x v="14"/>
    <n v="11549"/>
  </r>
  <r>
    <n v="0"/>
    <n v="102"/>
    <x v="19"/>
    <x v="0"/>
    <x v="1"/>
    <s v="four"/>
    <x v="1"/>
    <s v="4wd"/>
    <s v="front"/>
    <n v="97"/>
    <n v="172"/>
    <n v="65.400000000000006"/>
    <n v="54.3"/>
    <n v="2510"/>
    <s v="ohcf"/>
    <x v="4"/>
    <x v="22"/>
    <s v="mpfi"/>
    <n v="3.62"/>
    <n v="2.64"/>
    <n v="7.7"/>
    <x v="28"/>
    <n v="4800"/>
    <n v="24"/>
    <x v="15"/>
    <n v="11259"/>
  </r>
  <r>
    <n v="-1"/>
    <n v="65"/>
    <x v="10"/>
    <x v="0"/>
    <x v="0"/>
    <s v="four"/>
    <x v="3"/>
    <s v="fwd"/>
    <s v="front"/>
    <n v="102.4"/>
    <n v="175.6"/>
    <n v="66.5"/>
    <n v="53.9"/>
    <n v="2458"/>
    <s v="ohc"/>
    <x v="4"/>
    <x v="33"/>
    <s v="mpfi"/>
    <n v="3.31"/>
    <n v="3.54"/>
    <n v="8.6999999999999993"/>
    <x v="38"/>
    <n v="4200"/>
    <n v="27"/>
    <x v="19"/>
    <n v="11248"/>
  </r>
  <r>
    <n v="0"/>
    <n v="115"/>
    <x v="8"/>
    <x v="0"/>
    <x v="0"/>
    <s v="four"/>
    <x v="3"/>
    <s v="fwd"/>
    <s v="front"/>
    <n v="98.8"/>
    <n v="177.8"/>
    <n v="66.5"/>
    <n v="55.5"/>
    <n v="2425"/>
    <s v="ohc"/>
    <x v="4"/>
    <x v="33"/>
    <s v="2bbl"/>
    <n v="3.39"/>
    <n v="3.39"/>
    <n v="8.6"/>
    <x v="39"/>
    <n v="4800"/>
    <n v="26"/>
    <x v="19"/>
    <n v="11245"/>
  </r>
  <r>
    <n v="2"/>
    <n v="134"/>
    <x v="10"/>
    <x v="0"/>
    <x v="0"/>
    <s v="two"/>
    <x v="0"/>
    <s v="rwd"/>
    <s v="front"/>
    <n v="98.4"/>
    <n v="176.2"/>
    <n v="65.599999999999994"/>
    <n v="52"/>
    <n v="2679"/>
    <s v="ohc"/>
    <x v="4"/>
    <x v="21"/>
    <s v="mpfi"/>
    <n v="3.62"/>
    <n v="3.5"/>
    <n v="9.3000000000000007"/>
    <x v="21"/>
    <n v="4800"/>
    <n v="24"/>
    <x v="14"/>
    <n v="11199"/>
  </r>
  <r>
    <n v="2"/>
    <m/>
    <x v="11"/>
    <x v="0"/>
    <x v="0"/>
    <s v="two"/>
    <x v="3"/>
    <s v="rwd"/>
    <s v="front"/>
    <n v="96"/>
    <n v="172.6"/>
    <n v="65.2"/>
    <n v="51.4"/>
    <n v="2734"/>
    <s v="ohc"/>
    <x v="4"/>
    <x v="34"/>
    <s v="spfi"/>
    <n v="3.43"/>
    <n v="3.23"/>
    <n v="9.1999999999999993"/>
    <x v="37"/>
    <n v="5000"/>
    <n v="24"/>
    <x v="15"/>
    <n v="11048"/>
  </r>
  <r>
    <n v="3"/>
    <n v="150"/>
    <x v="8"/>
    <x v="0"/>
    <x v="0"/>
    <s v="two"/>
    <x v="3"/>
    <s v="rwd"/>
    <s v="front"/>
    <n v="95.3"/>
    <n v="169"/>
    <n v="65.7"/>
    <n v="49.6"/>
    <n v="2380"/>
    <s v="rotor"/>
    <x v="5"/>
    <x v="31"/>
    <s v="4bbl"/>
    <n v="3.3297512440000001"/>
    <n v="3.3"/>
    <n v="9.4"/>
    <x v="23"/>
    <n v="6000"/>
    <n v="17"/>
    <x v="8"/>
    <n v="10945"/>
  </r>
  <r>
    <n v="-1"/>
    <n v="65"/>
    <x v="10"/>
    <x v="0"/>
    <x v="0"/>
    <s v="four"/>
    <x v="1"/>
    <s v="fwd"/>
    <s v="front"/>
    <n v="102.4"/>
    <n v="175.6"/>
    <n v="66.5"/>
    <n v="54.9"/>
    <n v="2414"/>
    <s v="ohc"/>
    <x v="4"/>
    <x v="33"/>
    <s v="mpfi"/>
    <n v="3.31"/>
    <n v="3.54"/>
    <n v="8.6999999999999993"/>
    <x v="38"/>
    <n v="4200"/>
    <n v="27"/>
    <x v="19"/>
    <n v="10898"/>
  </r>
  <r>
    <n v="0"/>
    <m/>
    <x v="8"/>
    <x v="1"/>
    <x v="0"/>
    <m/>
    <x v="1"/>
    <s v="fwd"/>
    <s v="front"/>
    <n v="98.8"/>
    <n v="177.8"/>
    <n v="66.5"/>
    <n v="55.5"/>
    <n v="2443"/>
    <s v="ohc"/>
    <x v="4"/>
    <x v="33"/>
    <s v="idi"/>
    <n v="3.39"/>
    <n v="3.39"/>
    <n v="22.7"/>
    <x v="40"/>
    <n v="4650"/>
    <n v="36"/>
    <x v="20"/>
    <n v="10795"/>
  </r>
  <r>
    <n v="-1"/>
    <n v="65"/>
    <x v="10"/>
    <x v="1"/>
    <x v="1"/>
    <s v="four"/>
    <x v="1"/>
    <s v="fwd"/>
    <s v="front"/>
    <n v="102.4"/>
    <n v="175.6"/>
    <n v="66.5"/>
    <n v="54.9"/>
    <n v="2480"/>
    <s v="ohc"/>
    <x v="4"/>
    <x v="32"/>
    <s v="idi"/>
    <n v="3.27"/>
    <n v="3.35"/>
    <n v="22.5"/>
    <x v="41"/>
    <n v="4500"/>
    <n v="30"/>
    <x v="13"/>
    <n v="10698"/>
  </r>
  <r>
    <n v="1"/>
    <n v="129"/>
    <x v="8"/>
    <x v="0"/>
    <x v="0"/>
    <s v="two"/>
    <x v="3"/>
    <s v="fwd"/>
    <s v="front"/>
    <n v="98.8"/>
    <n v="177.8"/>
    <n v="66.5"/>
    <n v="53.7"/>
    <n v="2385"/>
    <s v="ohc"/>
    <x v="4"/>
    <x v="33"/>
    <s v="2bbl"/>
    <n v="3.39"/>
    <n v="3.39"/>
    <n v="8.6"/>
    <x v="39"/>
    <n v="4800"/>
    <n v="26"/>
    <x v="19"/>
    <n v="10595"/>
  </r>
  <r>
    <n v="1"/>
    <n v="107"/>
    <x v="17"/>
    <x v="0"/>
    <x v="0"/>
    <s v="two"/>
    <x v="1"/>
    <s v="fwd"/>
    <s v="front"/>
    <n v="96.5"/>
    <n v="169.1"/>
    <n v="66"/>
    <n v="51"/>
    <n v="2293"/>
    <s v="ohc"/>
    <x v="4"/>
    <x v="32"/>
    <s v="2bbl"/>
    <n v="3.15"/>
    <n v="3.58"/>
    <n v="9.1"/>
    <x v="42"/>
    <n v="5500"/>
    <n v="25"/>
    <x v="18"/>
    <n v="10345"/>
  </r>
  <r>
    <n v="0"/>
    <n v="85"/>
    <x v="17"/>
    <x v="0"/>
    <x v="0"/>
    <s v="four"/>
    <x v="1"/>
    <s v="fwd"/>
    <s v="front"/>
    <n v="96.5"/>
    <n v="175.4"/>
    <n v="62.5"/>
    <n v="54.1"/>
    <n v="2372"/>
    <s v="ohc"/>
    <x v="4"/>
    <x v="32"/>
    <s v="1bbl"/>
    <n v="3.15"/>
    <n v="3.58"/>
    <n v="9"/>
    <x v="43"/>
    <n v="5800"/>
    <n v="27"/>
    <x v="13"/>
    <n v="10295"/>
  </r>
  <r>
    <n v="0"/>
    <n v="115"/>
    <x v="8"/>
    <x v="0"/>
    <x v="0"/>
    <s v="four"/>
    <x v="1"/>
    <s v="fwd"/>
    <s v="front"/>
    <n v="98.8"/>
    <n v="177.8"/>
    <n v="66.5"/>
    <n v="55.5"/>
    <n v="2410"/>
    <s v="ohc"/>
    <x v="4"/>
    <x v="33"/>
    <s v="2bbl"/>
    <n v="3.39"/>
    <n v="3.39"/>
    <n v="8.6"/>
    <x v="39"/>
    <n v="4800"/>
    <n v="26"/>
    <x v="19"/>
    <n v="10245"/>
  </r>
  <r>
    <n v="0"/>
    <n v="89"/>
    <x v="19"/>
    <x v="0"/>
    <x v="0"/>
    <s v="four"/>
    <x v="4"/>
    <s v="fwd"/>
    <s v="front"/>
    <n v="97"/>
    <n v="173.5"/>
    <n v="65.400000000000006"/>
    <n v="53"/>
    <n v="2455"/>
    <s v="ohcf"/>
    <x v="4"/>
    <x v="22"/>
    <s v="mpfi"/>
    <n v="3.62"/>
    <n v="2.64"/>
    <n v="9"/>
    <x v="44"/>
    <n v="5200"/>
    <n v="25"/>
    <x v="18"/>
    <n v="10198"/>
  </r>
  <r>
    <n v="2"/>
    <n v="94"/>
    <x v="15"/>
    <x v="0"/>
    <x v="0"/>
    <s v="four"/>
    <x v="1"/>
    <s v="fwd"/>
    <s v="front"/>
    <n v="97.3"/>
    <n v="171.7"/>
    <n v="65.5"/>
    <n v="55.7"/>
    <n v="2300"/>
    <s v="ohc"/>
    <x v="4"/>
    <x v="29"/>
    <s v="mpfi"/>
    <n v="3.19"/>
    <n v="3.4"/>
    <n v="10"/>
    <x v="42"/>
    <n v="5500"/>
    <n v="26"/>
    <x v="19"/>
    <n v="9995"/>
  </r>
  <r>
    <n v="2"/>
    <n v="134"/>
    <x v="10"/>
    <x v="0"/>
    <x v="0"/>
    <s v="two"/>
    <x v="3"/>
    <s v="rwd"/>
    <s v="front"/>
    <n v="98.4"/>
    <n v="176.2"/>
    <n v="65.599999999999994"/>
    <n v="52"/>
    <n v="2551"/>
    <s v="ohc"/>
    <x v="4"/>
    <x v="21"/>
    <s v="mpfi"/>
    <n v="3.62"/>
    <n v="3.5"/>
    <n v="9.3000000000000007"/>
    <x v="21"/>
    <n v="4800"/>
    <n v="24"/>
    <x v="14"/>
    <n v="9989"/>
  </r>
  <r>
    <n v="-1"/>
    <n v="65"/>
    <x v="10"/>
    <x v="0"/>
    <x v="0"/>
    <s v="four"/>
    <x v="3"/>
    <s v="fwd"/>
    <s v="front"/>
    <n v="102.4"/>
    <n v="175.6"/>
    <n v="66.5"/>
    <n v="53.9"/>
    <n v="2414"/>
    <s v="ohc"/>
    <x v="4"/>
    <x v="33"/>
    <s v="mpfi"/>
    <n v="3.31"/>
    <n v="3.54"/>
    <n v="8.6999999999999993"/>
    <x v="38"/>
    <n v="4200"/>
    <n v="27"/>
    <x v="19"/>
    <n v="9988"/>
  </r>
  <r>
    <n v="3"/>
    <n v="256"/>
    <x v="15"/>
    <x v="0"/>
    <x v="0"/>
    <s v="two"/>
    <x v="3"/>
    <s v="fwd"/>
    <s v="front"/>
    <n v="94.5"/>
    <n v="165.7"/>
    <n v="64"/>
    <n v="51.4"/>
    <n v="2221"/>
    <s v="ohc"/>
    <x v="4"/>
    <x v="29"/>
    <s v="mpfi"/>
    <n v="3.19"/>
    <n v="3.4"/>
    <n v="8.5"/>
    <x v="37"/>
    <n v="5500"/>
    <n v="24"/>
    <x v="15"/>
    <n v="9980"/>
  </r>
  <r>
    <n v="0"/>
    <n v="102"/>
    <x v="19"/>
    <x v="0"/>
    <x v="0"/>
    <s v="four"/>
    <x v="1"/>
    <s v="fwd"/>
    <s v="front"/>
    <n v="97.2"/>
    <n v="172"/>
    <n v="65.400000000000006"/>
    <n v="52.5"/>
    <n v="2340"/>
    <s v="ohcf"/>
    <x v="4"/>
    <x v="22"/>
    <s v="mpfi"/>
    <n v="3.62"/>
    <n v="2.64"/>
    <n v="9"/>
    <x v="44"/>
    <n v="5200"/>
    <n v="26"/>
    <x v="19"/>
    <n v="9960"/>
  </r>
  <r>
    <n v="3"/>
    <n v="153"/>
    <x v="14"/>
    <x v="0"/>
    <x v="1"/>
    <s v="two"/>
    <x v="3"/>
    <s v="fwd"/>
    <s v="front"/>
    <n v="96.3"/>
    <n v="173"/>
    <n v="65.400000000000006"/>
    <n v="49.4"/>
    <n v="2370"/>
    <s v="ohc"/>
    <x v="4"/>
    <x v="32"/>
    <s v="spdi"/>
    <n v="3.17"/>
    <n v="3.46"/>
    <n v="7.5"/>
    <x v="21"/>
    <n v="5500"/>
    <n v="23"/>
    <x v="14"/>
    <n v="9959"/>
  </r>
  <r>
    <n v="2"/>
    <m/>
    <x v="20"/>
    <x v="0"/>
    <x v="0"/>
    <s v="two"/>
    <x v="3"/>
    <s v="fwd"/>
    <s v="front"/>
    <n v="96.1"/>
    <n v="176.8"/>
    <n v="66.599999999999994"/>
    <n v="50.5"/>
    <n v="2460"/>
    <s v="ohc"/>
    <x v="4"/>
    <x v="35"/>
    <s v="mpfi"/>
    <n v="3.46"/>
    <n v="3.9"/>
    <n v="8.6999999999999993"/>
    <x v="45"/>
    <m/>
    <n v="23"/>
    <x v="18"/>
    <n v="9895"/>
  </r>
  <r>
    <n v="2"/>
    <n v="134"/>
    <x v="10"/>
    <x v="0"/>
    <x v="0"/>
    <s v="two"/>
    <x v="0"/>
    <s v="rwd"/>
    <s v="front"/>
    <n v="98.4"/>
    <n v="176.2"/>
    <n v="65.599999999999994"/>
    <n v="52"/>
    <n v="2536"/>
    <s v="ohc"/>
    <x v="4"/>
    <x v="21"/>
    <s v="mpfi"/>
    <n v="3.62"/>
    <n v="3.5"/>
    <n v="9.3000000000000007"/>
    <x v="21"/>
    <n v="4800"/>
    <n v="24"/>
    <x v="14"/>
    <n v="9639"/>
  </r>
  <r>
    <n v="0"/>
    <n v="106"/>
    <x v="6"/>
    <x v="0"/>
    <x v="0"/>
    <s v="four"/>
    <x v="1"/>
    <s v="fwd"/>
    <s v="front"/>
    <n v="97.2"/>
    <n v="173.4"/>
    <n v="65.2"/>
    <n v="54.7"/>
    <n v="2302"/>
    <s v="ohc"/>
    <x v="4"/>
    <x v="24"/>
    <s v="2bbl"/>
    <n v="3.33"/>
    <n v="3.47"/>
    <n v="8.5"/>
    <x v="25"/>
    <n v="5200"/>
    <n v="27"/>
    <x v="21"/>
    <n v="9549"/>
  </r>
  <r>
    <n v="1"/>
    <n v="168"/>
    <x v="10"/>
    <x v="0"/>
    <x v="0"/>
    <s v="two"/>
    <x v="3"/>
    <s v="rwd"/>
    <s v="front"/>
    <n v="94.5"/>
    <n v="168.7"/>
    <n v="64"/>
    <n v="52.6"/>
    <n v="2300"/>
    <s v="dohc"/>
    <x v="4"/>
    <x v="36"/>
    <s v="mpfi"/>
    <n v="3.24"/>
    <n v="3.08"/>
    <n v="9.4"/>
    <x v="46"/>
    <n v="6600"/>
    <n v="26"/>
    <x v="15"/>
    <n v="9538"/>
  </r>
  <r>
    <n v="2"/>
    <n v="94"/>
    <x v="15"/>
    <x v="1"/>
    <x v="1"/>
    <s v="four"/>
    <x v="1"/>
    <s v="fwd"/>
    <s v="front"/>
    <n v="97.3"/>
    <n v="171.7"/>
    <n v="65.5"/>
    <n v="55.7"/>
    <n v="2319"/>
    <s v="ohc"/>
    <x v="4"/>
    <x v="30"/>
    <s v="idi"/>
    <n v="3.01"/>
    <n v="3.4"/>
    <n v="23"/>
    <x v="35"/>
    <n v="4500"/>
    <n v="37"/>
    <x v="20"/>
    <n v="9495"/>
  </r>
  <r>
    <n v="1"/>
    <n v="168"/>
    <x v="10"/>
    <x v="0"/>
    <x v="0"/>
    <s v="two"/>
    <x v="1"/>
    <s v="rwd"/>
    <s v="front"/>
    <n v="94.5"/>
    <n v="168.7"/>
    <n v="64"/>
    <n v="52.6"/>
    <n v="2265"/>
    <s v="dohc"/>
    <x v="4"/>
    <x v="36"/>
    <s v="mpfi"/>
    <n v="3.24"/>
    <n v="3.08"/>
    <n v="9.4"/>
    <x v="46"/>
    <n v="6600"/>
    <n v="26"/>
    <x v="15"/>
    <n v="9298"/>
  </r>
  <r>
    <n v="0"/>
    <m/>
    <x v="20"/>
    <x v="0"/>
    <x v="0"/>
    <s v="four"/>
    <x v="4"/>
    <s v="fwd"/>
    <s v="front"/>
    <n v="96.1"/>
    <n v="181.5"/>
    <n v="66.5"/>
    <n v="55.2"/>
    <n v="2579"/>
    <s v="ohc"/>
    <x v="4"/>
    <x v="35"/>
    <s v="mpfi"/>
    <n v="3.46"/>
    <n v="3.9"/>
    <n v="8.6999999999999993"/>
    <x v="45"/>
    <m/>
    <n v="23"/>
    <x v="18"/>
    <n v="9295"/>
  </r>
  <r>
    <n v="1"/>
    <n v="125"/>
    <x v="14"/>
    <x v="0"/>
    <x v="1"/>
    <s v="four"/>
    <x v="1"/>
    <s v="fwd"/>
    <s v="front"/>
    <n v="96.3"/>
    <n v="172.4"/>
    <n v="65.400000000000006"/>
    <n v="51.6"/>
    <n v="2403"/>
    <s v="ohc"/>
    <x v="4"/>
    <x v="32"/>
    <s v="spdi"/>
    <n v="3.17"/>
    <n v="3.46"/>
    <n v="7.5"/>
    <x v="21"/>
    <n v="5500"/>
    <n v="23"/>
    <x v="14"/>
    <n v="9279"/>
  </r>
  <r>
    <n v="-1"/>
    <n v="137"/>
    <x v="14"/>
    <x v="0"/>
    <x v="0"/>
    <s v="four"/>
    <x v="1"/>
    <s v="fwd"/>
    <s v="front"/>
    <n v="96.3"/>
    <n v="172.4"/>
    <n v="65.400000000000006"/>
    <n v="51.6"/>
    <n v="2403"/>
    <s v="ohc"/>
    <x v="4"/>
    <x v="32"/>
    <s v="spdi"/>
    <n v="3.17"/>
    <n v="3.46"/>
    <n v="7.5"/>
    <x v="21"/>
    <n v="5500"/>
    <n v="23"/>
    <x v="14"/>
    <n v="9279"/>
  </r>
  <r>
    <n v="0"/>
    <n v="91"/>
    <x v="10"/>
    <x v="0"/>
    <x v="0"/>
    <s v="four"/>
    <x v="1"/>
    <s v="fwd"/>
    <s v="front"/>
    <n v="95.7"/>
    <n v="166.3"/>
    <n v="64.400000000000006"/>
    <n v="52.8"/>
    <n v="2140"/>
    <s v="ohc"/>
    <x v="4"/>
    <x v="36"/>
    <s v="2bbl"/>
    <n v="3.19"/>
    <n v="3.03"/>
    <n v="9"/>
    <x v="24"/>
    <n v="4800"/>
    <n v="28"/>
    <x v="21"/>
    <n v="9258"/>
  </r>
  <r>
    <n v="0"/>
    <n v="102"/>
    <x v="19"/>
    <x v="0"/>
    <x v="0"/>
    <s v="four"/>
    <x v="1"/>
    <s v="4wd"/>
    <s v="front"/>
    <n v="97"/>
    <n v="172"/>
    <n v="65.400000000000006"/>
    <n v="54.3"/>
    <n v="2385"/>
    <s v="ohcf"/>
    <x v="4"/>
    <x v="22"/>
    <s v="2bbl"/>
    <n v="3.62"/>
    <n v="2.64"/>
    <n v="9"/>
    <x v="47"/>
    <n v="4800"/>
    <n v="24"/>
    <x v="2"/>
    <n v="9233"/>
  </r>
  <r>
    <n v="0"/>
    <n v="106"/>
    <x v="17"/>
    <x v="0"/>
    <x v="0"/>
    <s v="two"/>
    <x v="3"/>
    <s v="fwd"/>
    <s v="front"/>
    <n v="96.5"/>
    <n v="167.5"/>
    <n v="65.2"/>
    <n v="53.3"/>
    <n v="2289"/>
    <s v="ohc"/>
    <x v="4"/>
    <x v="32"/>
    <s v="1bbl"/>
    <n v="3.15"/>
    <n v="3.58"/>
    <n v="9"/>
    <x v="43"/>
    <n v="5800"/>
    <n v="27"/>
    <x v="13"/>
    <n v="9095"/>
  </r>
  <r>
    <n v="0"/>
    <n v="106"/>
    <x v="6"/>
    <x v="0"/>
    <x v="0"/>
    <s v="four"/>
    <x v="3"/>
    <s v="fwd"/>
    <s v="front"/>
    <n v="97.2"/>
    <n v="173.4"/>
    <n v="65.2"/>
    <n v="54.7"/>
    <n v="2324"/>
    <s v="ohc"/>
    <x v="4"/>
    <x v="24"/>
    <s v="2bbl"/>
    <n v="3.33"/>
    <n v="3.47"/>
    <n v="8.5"/>
    <x v="25"/>
    <n v="5200"/>
    <n v="27"/>
    <x v="21"/>
    <n v="8949"/>
  </r>
  <r>
    <n v="-1"/>
    <n v="65"/>
    <x v="10"/>
    <x v="0"/>
    <x v="0"/>
    <s v="four"/>
    <x v="1"/>
    <s v="fwd"/>
    <s v="front"/>
    <n v="102.4"/>
    <n v="175.6"/>
    <n v="66.5"/>
    <n v="54.9"/>
    <n v="2326"/>
    <s v="ohc"/>
    <x v="4"/>
    <x v="33"/>
    <s v="mpfi"/>
    <n v="3.31"/>
    <n v="3.54"/>
    <n v="8.6999999999999993"/>
    <x v="38"/>
    <n v="4200"/>
    <n v="29"/>
    <x v="21"/>
    <n v="8948"/>
  </r>
  <r>
    <n v="-1"/>
    <n v="110"/>
    <x v="16"/>
    <x v="0"/>
    <x v="0"/>
    <s v="four"/>
    <x v="4"/>
    <s v="fwd"/>
    <s v="front"/>
    <n v="103.3"/>
    <n v="174.6"/>
    <n v="64.599999999999994"/>
    <n v="59.8"/>
    <n v="2535"/>
    <s v="ohc"/>
    <x v="4"/>
    <x v="33"/>
    <s v="2bbl"/>
    <n v="3.34"/>
    <n v="3.46"/>
    <n v="8.5"/>
    <x v="36"/>
    <n v="5000"/>
    <n v="24"/>
    <x v="14"/>
    <n v="8921"/>
  </r>
  <r>
    <n v="-1"/>
    <n v="74"/>
    <x v="18"/>
    <x v="0"/>
    <x v="0"/>
    <s v="four"/>
    <x v="4"/>
    <s v="fwd"/>
    <s v="front"/>
    <n v="103.3"/>
    <n v="174.6"/>
    <n v="64.599999999999994"/>
    <n v="59.8"/>
    <n v="2535"/>
    <s v="ohc"/>
    <x v="4"/>
    <x v="33"/>
    <s v="2bbl"/>
    <n v="3.35"/>
    <n v="3.46"/>
    <n v="8.5"/>
    <x v="36"/>
    <n v="5000"/>
    <n v="24"/>
    <x v="14"/>
    <n v="8921"/>
  </r>
  <r>
    <n v="0"/>
    <n v="85"/>
    <x v="17"/>
    <x v="0"/>
    <x v="0"/>
    <s v="four"/>
    <x v="1"/>
    <s v="fwd"/>
    <s v="front"/>
    <n v="96.5"/>
    <n v="175.4"/>
    <n v="65.2"/>
    <n v="54.1"/>
    <n v="2304"/>
    <s v="ohc"/>
    <x v="4"/>
    <x v="32"/>
    <s v="1bbl"/>
    <n v="3.15"/>
    <n v="3.58"/>
    <n v="9"/>
    <x v="43"/>
    <n v="5800"/>
    <n v="27"/>
    <x v="13"/>
    <n v="8845"/>
  </r>
  <r>
    <n v="1"/>
    <m/>
    <x v="2"/>
    <x v="0"/>
    <x v="0"/>
    <s v="two"/>
    <x v="3"/>
    <s v="rwd"/>
    <s v="front"/>
    <n v="98.4"/>
    <n v="175.7"/>
    <n v="72.3"/>
    <n v="50.5"/>
    <n v="3366"/>
    <s v="dohcv"/>
    <x v="0"/>
    <x v="37"/>
    <s v="mpfi"/>
    <n v="3.94"/>
    <n v="3.11"/>
    <n v="10"/>
    <x v="48"/>
    <n v="5750"/>
    <n v="17"/>
    <x v="9"/>
    <m/>
  </r>
  <r>
    <n v="1"/>
    <n v="129"/>
    <x v="8"/>
    <x v="0"/>
    <x v="0"/>
    <s v="two"/>
    <x v="3"/>
    <s v="fwd"/>
    <s v="front"/>
    <n v="98.8"/>
    <n v="177.8"/>
    <n v="66.5"/>
    <n v="53.7"/>
    <n v="2385"/>
    <s v="ohc"/>
    <x v="4"/>
    <x v="33"/>
    <s v="2bbl"/>
    <n v="3.39"/>
    <n v="3.39"/>
    <n v="8.6"/>
    <x v="39"/>
    <n v="4800"/>
    <n v="26"/>
    <x v="19"/>
    <n v="8845"/>
  </r>
  <r>
    <n v="0"/>
    <n v="91"/>
    <x v="10"/>
    <x v="0"/>
    <x v="0"/>
    <s v="four"/>
    <x v="4"/>
    <s v="4wd"/>
    <s v="front"/>
    <n v="95.7"/>
    <n v="169.7"/>
    <n v="63.6"/>
    <n v="59.1"/>
    <n v="3110"/>
    <s v="ohc"/>
    <x v="4"/>
    <x v="38"/>
    <s v="2bbl"/>
    <n v="3.05"/>
    <n v="3.03"/>
    <n v="9"/>
    <x v="49"/>
    <n v="4800"/>
    <n v="27"/>
    <x v="19"/>
    <n v="8778"/>
  </r>
  <r>
    <n v="1"/>
    <n v="148"/>
    <x v="16"/>
    <x v="0"/>
    <x v="1"/>
    <s v="four"/>
    <x v="1"/>
    <s v="fwd"/>
    <s v="front"/>
    <n v="93.7"/>
    <n v="157.30000000000001"/>
    <n v="63.8"/>
    <n v="50.6"/>
    <n v="2191"/>
    <s v="ohc"/>
    <x v="4"/>
    <x v="36"/>
    <s v="mpfi"/>
    <n v="3.03"/>
    <n v="3.39"/>
    <n v="7.6"/>
    <x v="34"/>
    <n v="5500"/>
    <n v="24"/>
    <x v="14"/>
    <n v="8558"/>
  </r>
  <r>
    <n v="3"/>
    <n v="153"/>
    <x v="14"/>
    <x v="0"/>
    <x v="0"/>
    <s v="two"/>
    <x v="3"/>
    <s v="fwd"/>
    <s v="front"/>
    <n v="96.3"/>
    <n v="173"/>
    <n v="65.400000000000006"/>
    <n v="49.4"/>
    <n v="2328"/>
    <s v="ohc"/>
    <x v="4"/>
    <x v="33"/>
    <s v="2bbl"/>
    <n v="3.35"/>
    <n v="3.46"/>
    <n v="8.5"/>
    <x v="36"/>
    <n v="5000"/>
    <n v="25"/>
    <x v="19"/>
    <n v="8499"/>
  </r>
  <r>
    <n v="0"/>
    <n v="115"/>
    <x v="8"/>
    <x v="0"/>
    <x v="0"/>
    <s v="four"/>
    <x v="1"/>
    <s v="fwd"/>
    <s v="front"/>
    <n v="98.8"/>
    <n v="177.8"/>
    <n v="66.5"/>
    <n v="55.5"/>
    <n v="2410"/>
    <s v="ohc"/>
    <x v="4"/>
    <x v="33"/>
    <s v="2bbl"/>
    <n v="3.39"/>
    <n v="3.39"/>
    <n v="8.6"/>
    <x v="39"/>
    <n v="4800"/>
    <n v="26"/>
    <x v="19"/>
    <n v="8495"/>
  </r>
  <r>
    <n v="2"/>
    <n v="94"/>
    <x v="15"/>
    <x v="0"/>
    <x v="0"/>
    <s v="four"/>
    <x v="1"/>
    <s v="fwd"/>
    <s v="front"/>
    <n v="97.3"/>
    <n v="171.7"/>
    <n v="65.5"/>
    <n v="55.7"/>
    <n v="2275"/>
    <s v="ohc"/>
    <x v="4"/>
    <x v="29"/>
    <s v="mpfi"/>
    <n v="3.19"/>
    <n v="3.4"/>
    <n v="9"/>
    <x v="50"/>
    <n v="5250"/>
    <n v="27"/>
    <x v="21"/>
    <n v="8495"/>
  </r>
  <r>
    <n v="2"/>
    <n v="134"/>
    <x v="10"/>
    <x v="0"/>
    <x v="0"/>
    <s v="two"/>
    <x v="0"/>
    <s v="rwd"/>
    <s v="front"/>
    <n v="98.4"/>
    <n v="176.2"/>
    <n v="65.599999999999994"/>
    <n v="52"/>
    <n v="2540"/>
    <s v="ohc"/>
    <x v="4"/>
    <x v="21"/>
    <s v="mpfi"/>
    <n v="3.62"/>
    <n v="3.5"/>
    <n v="9.3000000000000007"/>
    <x v="21"/>
    <n v="4800"/>
    <n v="24"/>
    <x v="14"/>
    <n v="8449"/>
  </r>
  <r>
    <n v="0"/>
    <n v="91"/>
    <x v="10"/>
    <x v="0"/>
    <x v="0"/>
    <s v="four"/>
    <x v="3"/>
    <s v="fwd"/>
    <s v="front"/>
    <n v="95.7"/>
    <n v="166.3"/>
    <n v="64.400000000000006"/>
    <n v="52.8"/>
    <n v="2122"/>
    <s v="ohc"/>
    <x v="4"/>
    <x v="36"/>
    <s v="2bbl"/>
    <n v="3.19"/>
    <n v="3.03"/>
    <n v="9"/>
    <x v="24"/>
    <n v="4800"/>
    <n v="28"/>
    <x v="21"/>
    <n v="8358"/>
  </r>
  <r>
    <n v="2"/>
    <n v="168"/>
    <x v="6"/>
    <x v="0"/>
    <x v="0"/>
    <s v="two"/>
    <x v="0"/>
    <s v="fwd"/>
    <s v="front"/>
    <n v="95.1"/>
    <n v="162.4"/>
    <n v="63.8"/>
    <n v="53.3"/>
    <n v="2008"/>
    <s v="ohc"/>
    <x v="4"/>
    <x v="30"/>
    <s v="2bbl"/>
    <n v="3.15"/>
    <n v="3.29"/>
    <n v="9.4"/>
    <x v="51"/>
    <n v="5200"/>
    <n v="31"/>
    <x v="22"/>
    <n v="8249"/>
  </r>
  <r>
    <n v="1"/>
    <n v="168"/>
    <x v="10"/>
    <x v="0"/>
    <x v="0"/>
    <s v="two"/>
    <x v="3"/>
    <s v="rwd"/>
    <s v="front"/>
    <n v="94.5"/>
    <n v="168.7"/>
    <n v="64"/>
    <n v="52.6"/>
    <n v="2204"/>
    <s v="ohc"/>
    <x v="4"/>
    <x v="36"/>
    <s v="2bbl"/>
    <n v="3.19"/>
    <n v="3.03"/>
    <n v="9"/>
    <x v="24"/>
    <n v="4800"/>
    <n v="29"/>
    <x v="21"/>
    <n v="8238"/>
  </r>
  <r>
    <n v="2"/>
    <n v="94"/>
    <x v="15"/>
    <x v="0"/>
    <x v="0"/>
    <s v="four"/>
    <x v="1"/>
    <s v="fwd"/>
    <s v="front"/>
    <n v="97.3"/>
    <n v="171.7"/>
    <n v="65.5"/>
    <n v="55.7"/>
    <n v="2212"/>
    <s v="ohc"/>
    <x v="4"/>
    <x v="29"/>
    <s v="mpfi"/>
    <n v="3.19"/>
    <n v="3.4"/>
    <n v="9"/>
    <x v="50"/>
    <n v="5250"/>
    <n v="27"/>
    <x v="21"/>
    <n v="8195"/>
  </r>
  <r>
    <n v="1"/>
    <n v="125"/>
    <x v="14"/>
    <x v="0"/>
    <x v="0"/>
    <s v="four"/>
    <x v="1"/>
    <s v="fwd"/>
    <s v="front"/>
    <n v="96.3"/>
    <n v="172.4"/>
    <n v="65.400000000000006"/>
    <n v="51.6"/>
    <n v="2405"/>
    <s v="ohc"/>
    <x v="4"/>
    <x v="33"/>
    <s v="2bbl"/>
    <n v="3.35"/>
    <n v="3.46"/>
    <n v="8.5"/>
    <x v="36"/>
    <n v="5000"/>
    <n v="25"/>
    <x v="19"/>
    <n v="8189"/>
  </r>
  <r>
    <n v="1"/>
    <n v="168"/>
    <x v="10"/>
    <x v="0"/>
    <x v="0"/>
    <s v="two"/>
    <x v="1"/>
    <s v="rwd"/>
    <s v="front"/>
    <n v="94.5"/>
    <n v="168.7"/>
    <n v="64"/>
    <n v="52.6"/>
    <n v="2169"/>
    <s v="ohc"/>
    <x v="4"/>
    <x v="36"/>
    <s v="2bbl"/>
    <n v="3.19"/>
    <n v="3.03"/>
    <n v="9"/>
    <x v="24"/>
    <n v="4800"/>
    <n v="29"/>
    <x v="21"/>
    <n v="8058"/>
  </r>
  <r>
    <n v="0"/>
    <n v="85"/>
    <x v="19"/>
    <x v="0"/>
    <x v="0"/>
    <s v="four"/>
    <x v="4"/>
    <s v="4wd"/>
    <s v="front"/>
    <n v="96.9"/>
    <n v="173.6"/>
    <n v="65.400000000000006"/>
    <n v="54.9"/>
    <n v="2420"/>
    <s v="ohcf"/>
    <x v="4"/>
    <x v="22"/>
    <s v="2bbl"/>
    <n v="3.62"/>
    <n v="2.64"/>
    <n v="9"/>
    <x v="47"/>
    <n v="4800"/>
    <n v="23"/>
    <x v="15"/>
    <n v="8013"/>
  </r>
  <r>
    <n v="1"/>
    <n v="103"/>
    <x v="6"/>
    <x v="0"/>
    <x v="0"/>
    <s v="four"/>
    <x v="4"/>
    <s v="fwd"/>
    <s v="front"/>
    <n v="94.5"/>
    <n v="170.2"/>
    <n v="63.8"/>
    <n v="53.5"/>
    <n v="2037"/>
    <s v="ohc"/>
    <x v="4"/>
    <x v="30"/>
    <s v="2bbl"/>
    <n v="3.15"/>
    <n v="3.29"/>
    <n v="9.4"/>
    <x v="51"/>
    <n v="5200"/>
    <n v="31"/>
    <x v="22"/>
    <n v="7999"/>
  </r>
  <r>
    <n v="2"/>
    <n v="94"/>
    <x v="15"/>
    <x v="1"/>
    <x v="0"/>
    <s v="four"/>
    <x v="1"/>
    <s v="fwd"/>
    <s v="front"/>
    <n v="97.3"/>
    <n v="171.7"/>
    <n v="65.5"/>
    <n v="55.7"/>
    <n v="2264"/>
    <s v="ohc"/>
    <x v="4"/>
    <x v="30"/>
    <s v="idi"/>
    <n v="3.01"/>
    <n v="3.4"/>
    <n v="23"/>
    <x v="52"/>
    <n v="4800"/>
    <n v="37"/>
    <x v="23"/>
    <n v="7995"/>
  </r>
  <r>
    <n v="2"/>
    <n v="122"/>
    <x v="15"/>
    <x v="0"/>
    <x v="0"/>
    <s v="two"/>
    <x v="1"/>
    <s v="fwd"/>
    <s v="front"/>
    <n v="97.3"/>
    <n v="171.7"/>
    <n v="65.5"/>
    <n v="55.7"/>
    <n v="2209"/>
    <s v="ohc"/>
    <x v="4"/>
    <x v="29"/>
    <s v="mpfi"/>
    <n v="3.19"/>
    <n v="3.4"/>
    <n v="9"/>
    <x v="50"/>
    <n v="5250"/>
    <n v="27"/>
    <x v="21"/>
    <n v="7975"/>
  </r>
  <r>
    <n v="1"/>
    <n v="118"/>
    <x v="16"/>
    <x v="0"/>
    <x v="1"/>
    <s v="two"/>
    <x v="3"/>
    <s v="fwd"/>
    <s v="front"/>
    <n v="93.7"/>
    <n v="157.30000000000001"/>
    <n v="63.8"/>
    <n v="50.8"/>
    <n v="2128"/>
    <s v="ohc"/>
    <x v="4"/>
    <x v="36"/>
    <s v="mpfi"/>
    <n v="3.03"/>
    <n v="3.39"/>
    <n v="7.6"/>
    <x v="34"/>
    <n v="5500"/>
    <n v="24"/>
    <x v="14"/>
    <n v="7957"/>
  </r>
  <r>
    <n v="1"/>
    <n v="119"/>
    <x v="18"/>
    <x v="0"/>
    <x v="1"/>
    <s v="two"/>
    <x v="3"/>
    <s v="fwd"/>
    <s v="front"/>
    <n v="93.7"/>
    <n v="157.30000000000001"/>
    <n v="63.8"/>
    <n v="50.8"/>
    <n v="2128"/>
    <s v="ohc"/>
    <x v="4"/>
    <x v="36"/>
    <s v="spdi"/>
    <n v="3.03"/>
    <n v="3.39"/>
    <n v="7.6"/>
    <x v="34"/>
    <n v="5500"/>
    <n v="24"/>
    <x v="14"/>
    <n v="7957"/>
  </r>
  <r>
    <n v="0"/>
    <n v="81"/>
    <x v="10"/>
    <x v="0"/>
    <x v="0"/>
    <s v="four"/>
    <x v="4"/>
    <s v="4wd"/>
    <s v="front"/>
    <n v="95.7"/>
    <n v="169.7"/>
    <n v="63.6"/>
    <n v="59.1"/>
    <n v="2290"/>
    <s v="ohc"/>
    <x v="4"/>
    <x v="38"/>
    <s v="2bbl"/>
    <n v="3.05"/>
    <n v="3.03"/>
    <n v="9"/>
    <x v="49"/>
    <n v="4800"/>
    <n v="27"/>
    <x v="19"/>
    <n v="7898"/>
  </r>
  <r>
    <n v="0"/>
    <n v="91"/>
    <x v="10"/>
    <x v="1"/>
    <x v="0"/>
    <s v="four"/>
    <x v="1"/>
    <s v="fwd"/>
    <s v="front"/>
    <n v="95.7"/>
    <n v="166.3"/>
    <n v="64.400000000000006"/>
    <n v="53"/>
    <n v="2275"/>
    <s v="ohc"/>
    <x v="4"/>
    <x v="32"/>
    <s v="idi"/>
    <n v="3.27"/>
    <n v="3.35"/>
    <n v="22.5"/>
    <x v="53"/>
    <n v="4500"/>
    <n v="34"/>
    <x v="24"/>
    <n v="7898"/>
  </r>
  <r>
    <n v="0"/>
    <n v="106"/>
    <x v="17"/>
    <x v="0"/>
    <x v="0"/>
    <s v="two"/>
    <x v="3"/>
    <s v="fwd"/>
    <s v="front"/>
    <n v="96.5"/>
    <n v="167.5"/>
    <n v="65.2"/>
    <n v="53.3"/>
    <n v="2236"/>
    <s v="ohc"/>
    <x v="4"/>
    <x v="32"/>
    <s v="1bbl"/>
    <n v="3.15"/>
    <n v="3.58"/>
    <n v="9"/>
    <x v="43"/>
    <n v="5800"/>
    <n v="27"/>
    <x v="13"/>
    <n v="7895"/>
  </r>
  <r>
    <n v="1"/>
    <n v="128"/>
    <x v="6"/>
    <x v="0"/>
    <x v="0"/>
    <s v="two"/>
    <x v="3"/>
    <s v="fwd"/>
    <s v="front"/>
    <n v="94.5"/>
    <n v="165.6"/>
    <n v="63.8"/>
    <n v="53.3"/>
    <n v="2028"/>
    <s v="ohc"/>
    <x v="4"/>
    <x v="30"/>
    <s v="2bbl"/>
    <n v="3.15"/>
    <n v="3.29"/>
    <n v="9.4"/>
    <x v="51"/>
    <n v="5200"/>
    <n v="31"/>
    <x v="22"/>
    <n v="7799"/>
  </r>
  <r>
    <n v="0"/>
    <n v="91"/>
    <x v="10"/>
    <x v="1"/>
    <x v="0"/>
    <s v="four"/>
    <x v="3"/>
    <s v="fwd"/>
    <s v="front"/>
    <n v="95.7"/>
    <n v="166.3"/>
    <n v="64.400000000000006"/>
    <n v="52.8"/>
    <n v="2275"/>
    <s v="ohc"/>
    <x v="4"/>
    <x v="32"/>
    <s v="idi"/>
    <n v="3.27"/>
    <n v="3.35"/>
    <n v="22.5"/>
    <x v="53"/>
    <n v="4500"/>
    <n v="38"/>
    <x v="25"/>
    <n v="7788"/>
  </r>
  <r>
    <n v="0"/>
    <n v="102"/>
    <x v="19"/>
    <x v="0"/>
    <x v="0"/>
    <s v="four"/>
    <x v="1"/>
    <s v="fwd"/>
    <s v="front"/>
    <n v="97.2"/>
    <n v="172"/>
    <n v="65.400000000000006"/>
    <n v="52.5"/>
    <n v="2190"/>
    <s v="ohcf"/>
    <x v="4"/>
    <x v="22"/>
    <s v="2bbl"/>
    <n v="3.62"/>
    <n v="2.64"/>
    <n v="9.5"/>
    <x v="47"/>
    <n v="4400"/>
    <n v="28"/>
    <x v="13"/>
    <n v="7775"/>
  </r>
  <r>
    <n v="2"/>
    <n v="122"/>
    <x v="15"/>
    <x v="1"/>
    <x v="0"/>
    <s v="two"/>
    <x v="1"/>
    <s v="fwd"/>
    <s v="front"/>
    <n v="97.3"/>
    <n v="171.7"/>
    <n v="65.5"/>
    <n v="55.7"/>
    <n v="2261"/>
    <s v="ohc"/>
    <x v="4"/>
    <x v="30"/>
    <s v="idi"/>
    <n v="3.01"/>
    <n v="3.4"/>
    <n v="23"/>
    <x v="52"/>
    <n v="4800"/>
    <n v="37"/>
    <x v="23"/>
    <n v="7775"/>
  </r>
  <r>
    <n v="0"/>
    <n v="91"/>
    <x v="10"/>
    <x v="0"/>
    <x v="0"/>
    <s v="four"/>
    <x v="1"/>
    <s v="fwd"/>
    <s v="front"/>
    <n v="95.7"/>
    <n v="166.3"/>
    <n v="64.400000000000006"/>
    <n v="53"/>
    <n v="2094"/>
    <s v="ohc"/>
    <x v="4"/>
    <x v="36"/>
    <s v="2bbl"/>
    <n v="3.19"/>
    <n v="3.03"/>
    <n v="9"/>
    <x v="24"/>
    <n v="4800"/>
    <n v="38"/>
    <x v="25"/>
    <n v="7738"/>
  </r>
  <r>
    <n v="1"/>
    <n v="161"/>
    <x v="14"/>
    <x v="0"/>
    <x v="1"/>
    <s v="two"/>
    <x v="3"/>
    <s v="fwd"/>
    <s v="front"/>
    <n v="93"/>
    <n v="157.30000000000001"/>
    <n v="63.8"/>
    <n v="50.8"/>
    <n v="2145"/>
    <s v="ohc"/>
    <x v="4"/>
    <x v="36"/>
    <s v="spdi"/>
    <n v="3.03"/>
    <n v="3.39"/>
    <n v="7.6"/>
    <x v="34"/>
    <n v="5500"/>
    <n v="24"/>
    <x v="14"/>
    <n v="7689"/>
  </r>
  <r>
    <n v="1"/>
    <n v="148"/>
    <x v="16"/>
    <x v="0"/>
    <x v="0"/>
    <s v="four"/>
    <x v="1"/>
    <s v="fwd"/>
    <s v="front"/>
    <n v="93.7"/>
    <n v="157.30000000000001"/>
    <n v="63.8"/>
    <n v="50.6"/>
    <n v="1989"/>
    <s v="ohc"/>
    <x v="4"/>
    <x v="23"/>
    <s v="2bbl"/>
    <n v="2.97"/>
    <n v="3.23"/>
    <n v="9.4"/>
    <x v="35"/>
    <n v="5500"/>
    <n v="31"/>
    <x v="17"/>
    <n v="7609"/>
  </r>
  <r>
    <n v="1"/>
    <n v="154"/>
    <x v="18"/>
    <x v="0"/>
    <x v="0"/>
    <s v="four"/>
    <x v="1"/>
    <s v="fwd"/>
    <s v="front"/>
    <n v="93.7"/>
    <n v="167.3"/>
    <n v="63.8"/>
    <n v="50.8"/>
    <n v="2191"/>
    <s v="ohc"/>
    <x v="4"/>
    <x v="36"/>
    <s v="2bbl"/>
    <n v="2.97"/>
    <n v="3.23"/>
    <n v="9.4"/>
    <x v="35"/>
    <n v="5500"/>
    <n v="31"/>
    <x v="17"/>
    <n v="7609"/>
  </r>
  <r>
    <n v="2"/>
    <n v="83"/>
    <x v="19"/>
    <x v="0"/>
    <x v="0"/>
    <s v="two"/>
    <x v="3"/>
    <s v="4wd"/>
    <s v="front"/>
    <n v="93.3"/>
    <n v="157.30000000000001"/>
    <n v="63.8"/>
    <n v="55.7"/>
    <n v="2240"/>
    <s v="ohcf"/>
    <x v="4"/>
    <x v="22"/>
    <s v="2bbl"/>
    <n v="3.62"/>
    <n v="2.64"/>
    <n v="8.6999999999999993"/>
    <x v="41"/>
    <n v="4400"/>
    <n v="26"/>
    <x v="18"/>
    <n v="7603"/>
  </r>
  <r>
    <n v="1"/>
    <n v="122"/>
    <x v="6"/>
    <x v="0"/>
    <x v="0"/>
    <s v="four"/>
    <x v="1"/>
    <s v="fwd"/>
    <s v="front"/>
    <n v="94.5"/>
    <n v="165.3"/>
    <n v="63.8"/>
    <n v="54.5"/>
    <n v="1971"/>
    <s v="ohc"/>
    <x v="4"/>
    <x v="30"/>
    <s v="2bbl"/>
    <n v="3.15"/>
    <n v="3.29"/>
    <n v="9.4"/>
    <x v="51"/>
    <n v="5200"/>
    <n v="31"/>
    <x v="22"/>
    <n v="7499"/>
  </r>
  <r>
    <n v="0"/>
    <n v="89"/>
    <x v="19"/>
    <x v="0"/>
    <x v="0"/>
    <s v="four"/>
    <x v="4"/>
    <s v="fwd"/>
    <s v="front"/>
    <n v="97"/>
    <n v="173.5"/>
    <n v="65.400000000000006"/>
    <n v="53"/>
    <n v="2290"/>
    <s v="ohcf"/>
    <x v="4"/>
    <x v="22"/>
    <s v="2bbl"/>
    <n v="3.62"/>
    <n v="2.64"/>
    <n v="9"/>
    <x v="47"/>
    <n v="4800"/>
    <n v="28"/>
    <x v="19"/>
    <n v="7463"/>
  </r>
  <r>
    <n v="1"/>
    <n v="113"/>
    <x v="8"/>
    <x v="0"/>
    <x v="0"/>
    <s v="four"/>
    <x v="1"/>
    <s v="fwd"/>
    <s v="front"/>
    <n v="93.1"/>
    <n v="166.8"/>
    <n v="64.2"/>
    <n v="54.1"/>
    <n v="1950"/>
    <s v="ohc"/>
    <x v="4"/>
    <x v="39"/>
    <s v="2bbl"/>
    <n v="3.08"/>
    <n v="3.15"/>
    <n v="9"/>
    <x v="35"/>
    <n v="5000"/>
    <n v="31"/>
    <x v="17"/>
    <n v="7395"/>
  </r>
  <r>
    <n v="1"/>
    <n v="103"/>
    <x v="6"/>
    <x v="0"/>
    <x v="0"/>
    <s v="four"/>
    <x v="4"/>
    <s v="fwd"/>
    <s v="front"/>
    <n v="94.5"/>
    <n v="170.2"/>
    <n v="63.8"/>
    <n v="53.5"/>
    <n v="2024"/>
    <s v="ohc"/>
    <x v="4"/>
    <x v="30"/>
    <s v="2bbl"/>
    <n v="3.15"/>
    <n v="3.29"/>
    <n v="9.4"/>
    <x v="51"/>
    <n v="5200"/>
    <n v="31"/>
    <x v="22"/>
    <n v="7349"/>
  </r>
  <r>
    <n v="1"/>
    <n v="128"/>
    <x v="6"/>
    <x v="0"/>
    <x v="0"/>
    <s v="two"/>
    <x v="1"/>
    <s v="fwd"/>
    <s v="front"/>
    <n v="94.5"/>
    <n v="165.3"/>
    <n v="63.8"/>
    <n v="54.5"/>
    <n v="1951"/>
    <s v="ohc"/>
    <x v="4"/>
    <x v="30"/>
    <s v="2bbl"/>
    <n v="3.15"/>
    <n v="3.29"/>
    <n v="9.4"/>
    <x v="51"/>
    <n v="5200"/>
    <n v="31"/>
    <x v="22"/>
    <n v="7299"/>
  </r>
  <r>
    <n v="0"/>
    <n v="110"/>
    <x v="17"/>
    <x v="0"/>
    <x v="0"/>
    <s v="four"/>
    <x v="1"/>
    <s v="fwd"/>
    <s v="front"/>
    <n v="96.5"/>
    <n v="163.4"/>
    <n v="64"/>
    <n v="54.5"/>
    <n v="2010"/>
    <s v="ohc"/>
    <x v="4"/>
    <x v="38"/>
    <s v="1bbl"/>
    <n v="2.91"/>
    <n v="3.41"/>
    <n v="9.1999999999999993"/>
    <x v="54"/>
    <n v="6000"/>
    <n v="30"/>
    <x v="21"/>
    <n v="7295"/>
  </r>
  <r>
    <n v="0"/>
    <n v="78"/>
    <x v="17"/>
    <x v="0"/>
    <x v="0"/>
    <s v="four"/>
    <x v="4"/>
    <s v="fwd"/>
    <s v="front"/>
    <n v="96.5"/>
    <n v="157.1"/>
    <n v="63.9"/>
    <n v="58.3"/>
    <n v="2024"/>
    <s v="ohc"/>
    <x v="4"/>
    <x v="38"/>
    <s v="1bbl"/>
    <n v="2.92"/>
    <n v="3.41"/>
    <n v="9.1999999999999993"/>
    <x v="54"/>
    <n v="6000"/>
    <n v="30"/>
    <x v="21"/>
    <n v="7295"/>
  </r>
  <r>
    <n v="0"/>
    <n v="91"/>
    <x v="10"/>
    <x v="0"/>
    <x v="0"/>
    <s v="four"/>
    <x v="3"/>
    <s v="fwd"/>
    <s v="front"/>
    <n v="95.7"/>
    <n v="166.3"/>
    <n v="64.400000000000006"/>
    <n v="52.8"/>
    <n v="2109"/>
    <s v="ohc"/>
    <x v="4"/>
    <x v="36"/>
    <s v="2bbl"/>
    <n v="3.19"/>
    <n v="3.03"/>
    <n v="9"/>
    <x v="24"/>
    <n v="4800"/>
    <n v="30"/>
    <x v="22"/>
    <n v="7198"/>
  </r>
  <r>
    <n v="1"/>
    <n v="101"/>
    <x v="17"/>
    <x v="0"/>
    <x v="0"/>
    <s v="two"/>
    <x v="3"/>
    <s v="fwd"/>
    <s v="front"/>
    <n v="93.7"/>
    <n v="150"/>
    <n v="64"/>
    <n v="52.6"/>
    <n v="1956"/>
    <s v="ohc"/>
    <x v="4"/>
    <x v="38"/>
    <s v="1bbl"/>
    <n v="2.91"/>
    <n v="3.41"/>
    <n v="9.1999999999999993"/>
    <x v="54"/>
    <n v="6000"/>
    <n v="30"/>
    <x v="21"/>
    <n v="7129"/>
  </r>
  <r>
    <n v="0"/>
    <n v="102"/>
    <x v="19"/>
    <x v="0"/>
    <x v="0"/>
    <s v="four"/>
    <x v="1"/>
    <s v="fwd"/>
    <s v="front"/>
    <n v="97.2"/>
    <n v="172"/>
    <n v="65.400000000000006"/>
    <n v="52.5"/>
    <n v="2145"/>
    <s v="ohcf"/>
    <x v="4"/>
    <x v="22"/>
    <s v="2bbl"/>
    <n v="3.62"/>
    <n v="2.64"/>
    <n v="9.5"/>
    <x v="47"/>
    <n v="4800"/>
    <n v="32"/>
    <x v="22"/>
    <n v="7126"/>
  </r>
  <r>
    <n v="1"/>
    <n v="128"/>
    <x v="6"/>
    <x v="1"/>
    <x v="0"/>
    <s v="two"/>
    <x v="1"/>
    <s v="fwd"/>
    <s v="front"/>
    <n v="94.5"/>
    <n v="165.3"/>
    <n v="63.8"/>
    <n v="54.5"/>
    <n v="2017"/>
    <s v="ohc"/>
    <x v="4"/>
    <x v="40"/>
    <s v="idi"/>
    <n v="2.99"/>
    <n v="3.47"/>
    <n v="21.9"/>
    <x v="55"/>
    <n v="4800"/>
    <n v="45"/>
    <x v="26"/>
    <n v="7099"/>
  </r>
  <r>
    <n v="2"/>
    <n v="83"/>
    <x v="19"/>
    <x v="0"/>
    <x v="0"/>
    <s v="two"/>
    <x v="3"/>
    <s v="fwd"/>
    <s v="front"/>
    <n v="93.7"/>
    <n v="157.9"/>
    <n v="63.6"/>
    <n v="53.7"/>
    <n v="2120"/>
    <s v="ohcf"/>
    <x v="4"/>
    <x v="22"/>
    <s v="2bbl"/>
    <n v="3.62"/>
    <n v="2.64"/>
    <n v="8.6999999999999993"/>
    <x v="41"/>
    <n v="4400"/>
    <n v="26"/>
    <x v="18"/>
    <n v="7053"/>
  </r>
  <r>
    <n v="1"/>
    <n v="125"/>
    <x v="14"/>
    <x v="0"/>
    <x v="0"/>
    <s v="four"/>
    <x v="1"/>
    <s v="fwd"/>
    <s v="front"/>
    <n v="96.3"/>
    <n v="172.4"/>
    <n v="65.400000000000006"/>
    <n v="51.6"/>
    <n v="2365"/>
    <s v="ohc"/>
    <x v="4"/>
    <x v="33"/>
    <s v="2bbl"/>
    <n v="3.35"/>
    <n v="3.46"/>
    <n v="8.5"/>
    <x v="36"/>
    <n v="5000"/>
    <n v="25"/>
    <x v="19"/>
    <n v="6989"/>
  </r>
  <r>
    <n v="0"/>
    <n v="91"/>
    <x v="10"/>
    <x v="0"/>
    <x v="0"/>
    <s v="four"/>
    <x v="1"/>
    <s v="fwd"/>
    <s v="front"/>
    <n v="95.7"/>
    <n v="166.3"/>
    <n v="64.400000000000006"/>
    <n v="53"/>
    <n v="2081"/>
    <s v="ohc"/>
    <x v="4"/>
    <x v="36"/>
    <s v="2bbl"/>
    <n v="3.19"/>
    <n v="3.03"/>
    <n v="9"/>
    <x v="24"/>
    <n v="4800"/>
    <n v="30"/>
    <x v="22"/>
    <n v="6938"/>
  </r>
  <r>
    <n v="0"/>
    <n v="77"/>
    <x v="10"/>
    <x v="0"/>
    <x v="0"/>
    <s v="four"/>
    <x v="4"/>
    <s v="fwd"/>
    <s v="front"/>
    <n v="95.7"/>
    <n v="169.7"/>
    <n v="63.6"/>
    <n v="59.1"/>
    <n v="2280"/>
    <s v="ohc"/>
    <x v="4"/>
    <x v="38"/>
    <s v="2bbl"/>
    <n v="3.05"/>
    <n v="3.03"/>
    <n v="9"/>
    <x v="49"/>
    <n v="4800"/>
    <n v="31"/>
    <x v="22"/>
    <n v="6918"/>
  </r>
  <r>
    <n v="2"/>
    <n v="137"/>
    <x v="17"/>
    <x v="0"/>
    <x v="0"/>
    <s v="two"/>
    <x v="3"/>
    <s v="fwd"/>
    <s v="front"/>
    <n v="86.6"/>
    <n v="144.6"/>
    <n v="63.9"/>
    <n v="50.8"/>
    <n v="1819"/>
    <s v="ohc"/>
    <x v="4"/>
    <x v="38"/>
    <s v="1bbl"/>
    <n v="2.91"/>
    <n v="3.41"/>
    <n v="9.1999999999999993"/>
    <x v="54"/>
    <n v="6000"/>
    <n v="31"/>
    <x v="17"/>
    <n v="6855"/>
  </r>
  <r>
    <n v="1"/>
    <n v="122"/>
    <x v="6"/>
    <x v="0"/>
    <x v="0"/>
    <s v="four"/>
    <x v="1"/>
    <s v="fwd"/>
    <s v="front"/>
    <n v="94.5"/>
    <n v="165.3"/>
    <n v="63.8"/>
    <n v="54.5"/>
    <n v="1938"/>
    <s v="ohc"/>
    <x v="4"/>
    <x v="30"/>
    <s v="2bbl"/>
    <n v="3.15"/>
    <n v="3.29"/>
    <n v="9.4"/>
    <x v="51"/>
    <n v="5200"/>
    <n v="31"/>
    <x v="22"/>
    <n v="6849"/>
  </r>
  <r>
    <n v="1"/>
    <n v="104"/>
    <x v="8"/>
    <x v="0"/>
    <x v="0"/>
    <s v="two"/>
    <x v="3"/>
    <s v="fwd"/>
    <s v="front"/>
    <n v="93.1"/>
    <n v="159.1"/>
    <n v="64.2"/>
    <n v="54.1"/>
    <n v="1905"/>
    <s v="ohc"/>
    <x v="4"/>
    <x v="39"/>
    <s v="2bbl"/>
    <n v="3.03"/>
    <n v="3.15"/>
    <n v="9"/>
    <x v="35"/>
    <n v="5000"/>
    <n v="31"/>
    <x v="17"/>
    <n v="6795"/>
  </r>
  <r>
    <n v="0"/>
    <m/>
    <x v="11"/>
    <x v="0"/>
    <x v="0"/>
    <s v="four"/>
    <x v="1"/>
    <s v="rwd"/>
    <s v="front"/>
    <n v="94.3"/>
    <n v="170.7"/>
    <n v="61.8"/>
    <n v="53.5"/>
    <n v="2337"/>
    <s v="ohc"/>
    <x v="4"/>
    <x v="41"/>
    <s v="2bbl"/>
    <n v="3.31"/>
    <n v="3.23"/>
    <n v="8.5"/>
    <x v="56"/>
    <n v="4800"/>
    <n v="24"/>
    <x v="15"/>
    <n v="6785"/>
  </r>
  <r>
    <n v="1"/>
    <n v="113"/>
    <x v="8"/>
    <x v="0"/>
    <x v="0"/>
    <s v="four"/>
    <x v="1"/>
    <s v="fwd"/>
    <s v="front"/>
    <n v="93.1"/>
    <n v="166.8"/>
    <n v="64.2"/>
    <n v="54.1"/>
    <n v="1945"/>
    <s v="ohc"/>
    <x v="4"/>
    <x v="39"/>
    <s v="2bbl"/>
    <n v="3.03"/>
    <n v="3.15"/>
    <n v="9"/>
    <x v="35"/>
    <n v="5000"/>
    <n v="31"/>
    <x v="17"/>
    <n v="6695"/>
  </r>
  <r>
    <n v="1"/>
    <n v="148"/>
    <x v="16"/>
    <x v="0"/>
    <x v="0"/>
    <s v="four"/>
    <x v="1"/>
    <s v="fwd"/>
    <s v="front"/>
    <n v="93.7"/>
    <n v="157.30000000000001"/>
    <n v="63.8"/>
    <n v="50.6"/>
    <n v="1989"/>
    <s v="ohc"/>
    <x v="4"/>
    <x v="23"/>
    <s v="2bbl"/>
    <n v="2.97"/>
    <n v="3.23"/>
    <n v="9.4"/>
    <x v="35"/>
    <n v="5500"/>
    <n v="31"/>
    <x v="17"/>
    <n v="6692"/>
  </r>
  <r>
    <n v="1"/>
    <n v="154"/>
    <x v="18"/>
    <x v="0"/>
    <x v="0"/>
    <s v="four"/>
    <x v="1"/>
    <s v="fwd"/>
    <s v="front"/>
    <n v="93.7"/>
    <n v="167.3"/>
    <n v="63.8"/>
    <n v="50.8"/>
    <n v="1989"/>
    <s v="ohc"/>
    <x v="4"/>
    <x v="23"/>
    <s v="2bbl"/>
    <n v="2.97"/>
    <n v="3.23"/>
    <n v="9.4"/>
    <x v="35"/>
    <n v="5500"/>
    <n v="31"/>
    <x v="17"/>
    <n v="6692"/>
  </r>
  <r>
    <n v="2"/>
    <n v="161"/>
    <x v="14"/>
    <x v="0"/>
    <x v="0"/>
    <s v="two"/>
    <x v="3"/>
    <s v="fwd"/>
    <s v="front"/>
    <n v="93.7"/>
    <n v="157.30000000000001"/>
    <n v="64.400000000000006"/>
    <n v="50.8"/>
    <n v="2004"/>
    <s v="ohc"/>
    <x v="4"/>
    <x v="38"/>
    <s v="2bbl"/>
    <n v="2.97"/>
    <n v="3.23"/>
    <n v="9.4"/>
    <x v="35"/>
    <n v="5500"/>
    <n v="31"/>
    <x v="17"/>
    <n v="6669"/>
  </r>
  <r>
    <n v="1"/>
    <n v="128"/>
    <x v="6"/>
    <x v="0"/>
    <x v="0"/>
    <s v="two"/>
    <x v="1"/>
    <s v="fwd"/>
    <s v="front"/>
    <n v="94.5"/>
    <n v="165.3"/>
    <n v="63.8"/>
    <n v="54.5"/>
    <n v="1918"/>
    <s v="ohc"/>
    <x v="4"/>
    <x v="30"/>
    <s v="2bbl"/>
    <n v="3.15"/>
    <n v="3.29"/>
    <n v="9.4"/>
    <x v="51"/>
    <n v="5200"/>
    <n v="31"/>
    <x v="22"/>
    <n v="6649"/>
  </r>
  <r>
    <n v="0"/>
    <n v="81"/>
    <x v="21"/>
    <x v="0"/>
    <x v="0"/>
    <s v="four"/>
    <x v="1"/>
    <s v="fwd"/>
    <s v="front"/>
    <n v="94.5"/>
    <n v="158.80000000000001"/>
    <n v="63.6"/>
    <n v="52"/>
    <n v="1909"/>
    <s v="ohc"/>
    <x v="4"/>
    <x v="23"/>
    <s v="2bbl"/>
    <n v="3.03"/>
    <n v="3.11"/>
    <n v="9.6"/>
    <x v="24"/>
    <n v="5400"/>
    <n v="38"/>
    <x v="16"/>
    <n v="6575"/>
  </r>
  <r>
    <n v="1"/>
    <n v="101"/>
    <x v="17"/>
    <x v="0"/>
    <x v="0"/>
    <s v="two"/>
    <x v="3"/>
    <s v="fwd"/>
    <s v="front"/>
    <n v="93.7"/>
    <n v="150"/>
    <n v="64"/>
    <n v="52.6"/>
    <n v="1940"/>
    <s v="ohc"/>
    <x v="4"/>
    <x v="38"/>
    <s v="1bbl"/>
    <n v="2.91"/>
    <n v="3.41"/>
    <n v="9.1999999999999993"/>
    <x v="54"/>
    <n v="6000"/>
    <n v="30"/>
    <x v="21"/>
    <n v="6529"/>
  </r>
  <r>
    <n v="1"/>
    <n v="74"/>
    <x v="10"/>
    <x v="0"/>
    <x v="0"/>
    <s v="four"/>
    <x v="3"/>
    <s v="fwd"/>
    <s v="front"/>
    <n v="95.7"/>
    <n v="158.69999999999999"/>
    <n v="63.6"/>
    <n v="54.5"/>
    <n v="2015"/>
    <s v="ohc"/>
    <x v="4"/>
    <x v="38"/>
    <s v="2bbl"/>
    <n v="3.05"/>
    <n v="3.03"/>
    <n v="9"/>
    <x v="49"/>
    <n v="4800"/>
    <n v="31"/>
    <x v="17"/>
    <n v="6488"/>
  </r>
  <r>
    <n v="2"/>
    <n v="137"/>
    <x v="17"/>
    <x v="0"/>
    <x v="0"/>
    <s v="two"/>
    <x v="3"/>
    <s v="fwd"/>
    <s v="front"/>
    <n v="86.6"/>
    <n v="144.6"/>
    <n v="63.9"/>
    <n v="50.8"/>
    <n v="1713"/>
    <s v="ohc"/>
    <x v="4"/>
    <x v="38"/>
    <s v="1bbl"/>
    <n v="2.91"/>
    <n v="3.41"/>
    <n v="9.6"/>
    <x v="57"/>
    <n v="4800"/>
    <n v="49"/>
    <x v="27"/>
    <n v="6479"/>
  </r>
  <r>
    <n v="1"/>
    <n v="118"/>
    <x v="16"/>
    <x v="0"/>
    <x v="0"/>
    <s v="two"/>
    <x v="3"/>
    <s v="fwd"/>
    <s v="front"/>
    <n v="93.7"/>
    <n v="157.30000000000001"/>
    <n v="63.8"/>
    <n v="50.8"/>
    <n v="1876"/>
    <s v="ohc"/>
    <x v="4"/>
    <x v="23"/>
    <s v="2bbl"/>
    <n v="2.97"/>
    <n v="3.23"/>
    <n v="9.4"/>
    <x v="35"/>
    <n v="5500"/>
    <n v="31"/>
    <x v="17"/>
    <n v="6377"/>
  </r>
  <r>
    <n v="1"/>
    <n v="87"/>
    <x v="10"/>
    <x v="0"/>
    <x v="0"/>
    <s v="two"/>
    <x v="3"/>
    <s v="fwd"/>
    <s v="front"/>
    <n v="95.7"/>
    <n v="158.69999999999999"/>
    <n v="63.6"/>
    <n v="54.5"/>
    <n v="2040"/>
    <s v="ohc"/>
    <x v="4"/>
    <x v="38"/>
    <s v="2bbl"/>
    <n v="3.05"/>
    <n v="3.03"/>
    <n v="9"/>
    <x v="49"/>
    <n v="4800"/>
    <n v="31"/>
    <x v="17"/>
    <n v="6338"/>
  </r>
  <r>
    <n v="1"/>
    <n v="98"/>
    <x v="21"/>
    <x v="0"/>
    <x v="0"/>
    <s v="two"/>
    <x v="3"/>
    <s v="fwd"/>
    <s v="front"/>
    <n v="94.5"/>
    <n v="155.9"/>
    <n v="63.6"/>
    <n v="52"/>
    <n v="1874"/>
    <s v="ohc"/>
    <x v="4"/>
    <x v="23"/>
    <s v="2bbl"/>
    <n v="3.03"/>
    <n v="3.11"/>
    <n v="9.6"/>
    <x v="24"/>
    <n v="5400"/>
    <n v="38"/>
    <x v="16"/>
    <n v="6295"/>
  </r>
  <r>
    <n v="1"/>
    <n v="148"/>
    <x v="16"/>
    <x v="0"/>
    <x v="0"/>
    <s v="four"/>
    <x v="3"/>
    <s v="fwd"/>
    <s v="front"/>
    <n v="93.7"/>
    <n v="157.30000000000001"/>
    <n v="63.8"/>
    <n v="50.6"/>
    <n v="1967"/>
    <s v="ohc"/>
    <x v="4"/>
    <x v="23"/>
    <s v="2bbl"/>
    <n v="2.97"/>
    <n v="3.23"/>
    <n v="9.4"/>
    <x v="35"/>
    <n v="5500"/>
    <n v="31"/>
    <x v="17"/>
    <n v="6229"/>
  </r>
  <r>
    <n v="1"/>
    <n v="154"/>
    <x v="18"/>
    <x v="0"/>
    <x v="0"/>
    <s v="four"/>
    <x v="3"/>
    <s v="fwd"/>
    <s v="front"/>
    <n v="93.7"/>
    <n v="157.30000000000001"/>
    <n v="63.8"/>
    <n v="50.6"/>
    <n v="1967"/>
    <s v="ohc"/>
    <x v="4"/>
    <x v="23"/>
    <s v="2bbl"/>
    <n v="2.97"/>
    <n v="3.23"/>
    <n v="9.4"/>
    <x v="35"/>
    <n v="5500"/>
    <n v="31"/>
    <x v="17"/>
    <n v="6229"/>
  </r>
  <r>
    <n v="2"/>
    <n v="161"/>
    <x v="14"/>
    <x v="0"/>
    <x v="0"/>
    <s v="two"/>
    <x v="3"/>
    <s v="fwd"/>
    <s v="front"/>
    <n v="93.7"/>
    <n v="157.30000000000001"/>
    <n v="64.400000000000006"/>
    <n v="50.8"/>
    <n v="1944"/>
    <s v="ohc"/>
    <x v="4"/>
    <x v="38"/>
    <s v="2bbl"/>
    <n v="2.97"/>
    <n v="3.23"/>
    <n v="9.4"/>
    <x v="35"/>
    <n v="5500"/>
    <n v="31"/>
    <x v="17"/>
    <n v="6189"/>
  </r>
  <r>
    <n v="1"/>
    <n v="104"/>
    <x v="8"/>
    <x v="0"/>
    <x v="0"/>
    <s v="two"/>
    <x v="3"/>
    <s v="fwd"/>
    <s v="front"/>
    <n v="93.1"/>
    <n v="159.1"/>
    <n v="64.2"/>
    <n v="54.1"/>
    <n v="1900"/>
    <s v="ohc"/>
    <x v="4"/>
    <x v="39"/>
    <s v="2bbl"/>
    <n v="3.03"/>
    <n v="3.15"/>
    <n v="9"/>
    <x v="35"/>
    <n v="5000"/>
    <n v="31"/>
    <x v="17"/>
    <n v="6095"/>
  </r>
  <r>
    <n v="1"/>
    <n v="118"/>
    <x v="16"/>
    <x v="0"/>
    <x v="0"/>
    <s v="two"/>
    <x v="3"/>
    <s v="fwd"/>
    <s v="front"/>
    <n v="93.7"/>
    <n v="157.30000000000001"/>
    <n v="63.8"/>
    <n v="50.8"/>
    <n v="1876"/>
    <s v="ohc"/>
    <x v="4"/>
    <x v="23"/>
    <s v="2bbl"/>
    <n v="2.97"/>
    <n v="3.23"/>
    <n v="9.41"/>
    <x v="35"/>
    <n v="5500"/>
    <n v="37"/>
    <x v="28"/>
    <n v="5572"/>
  </r>
  <r>
    <n v="1"/>
    <n v="119"/>
    <x v="18"/>
    <x v="0"/>
    <x v="0"/>
    <s v="two"/>
    <x v="3"/>
    <s v="fwd"/>
    <s v="front"/>
    <n v="93.7"/>
    <n v="157.30000000000001"/>
    <n v="63.8"/>
    <n v="50.8"/>
    <n v="1918"/>
    <s v="ohc"/>
    <x v="4"/>
    <x v="23"/>
    <s v="2bbl"/>
    <n v="2.97"/>
    <n v="3.23"/>
    <n v="9.4"/>
    <x v="35"/>
    <n v="5500"/>
    <n v="37"/>
    <x v="28"/>
    <n v="5572"/>
  </r>
  <r>
    <n v="1"/>
    <n v="128"/>
    <x v="6"/>
    <x v="0"/>
    <x v="0"/>
    <s v="two"/>
    <x v="1"/>
    <s v="fwd"/>
    <s v="front"/>
    <n v="94.5"/>
    <n v="165.3"/>
    <n v="63.8"/>
    <n v="54.5"/>
    <n v="1889"/>
    <s v="ohc"/>
    <x v="4"/>
    <x v="30"/>
    <s v="2bbl"/>
    <n v="3.15"/>
    <n v="3.29"/>
    <n v="9.4"/>
    <x v="51"/>
    <n v="5200"/>
    <n v="31"/>
    <x v="22"/>
    <n v="5499"/>
  </r>
  <r>
    <n v="1"/>
    <n v="101"/>
    <x v="17"/>
    <x v="0"/>
    <x v="0"/>
    <s v="two"/>
    <x v="3"/>
    <s v="fwd"/>
    <s v="front"/>
    <n v="93.7"/>
    <n v="150"/>
    <n v="64"/>
    <n v="52.6"/>
    <n v="1837"/>
    <s v="ohc"/>
    <x v="4"/>
    <x v="42"/>
    <s v="1bbl"/>
    <n v="2.91"/>
    <n v="3.07"/>
    <n v="10.1"/>
    <x v="58"/>
    <n v="5500"/>
    <n v="38"/>
    <x v="20"/>
    <n v="5399"/>
  </r>
  <r>
    <n v="2"/>
    <n v="161"/>
    <x v="14"/>
    <x v="0"/>
    <x v="0"/>
    <s v="two"/>
    <x v="3"/>
    <s v="fwd"/>
    <s v="front"/>
    <n v="93.7"/>
    <n v="157.30000000000001"/>
    <n v="64.400000000000006"/>
    <n v="50.8"/>
    <n v="1918"/>
    <s v="ohc"/>
    <x v="4"/>
    <x v="38"/>
    <s v="2bbl"/>
    <n v="2.97"/>
    <n v="3.23"/>
    <n v="9.4"/>
    <x v="35"/>
    <n v="5500"/>
    <n v="37"/>
    <x v="28"/>
    <n v="5389"/>
  </r>
  <r>
    <n v="1"/>
    <n v="87"/>
    <x v="10"/>
    <x v="0"/>
    <x v="0"/>
    <s v="two"/>
    <x v="3"/>
    <s v="fwd"/>
    <s v="front"/>
    <n v="95.7"/>
    <n v="158.69999999999999"/>
    <n v="63.6"/>
    <n v="54.5"/>
    <n v="1985"/>
    <s v="ohc"/>
    <x v="4"/>
    <x v="38"/>
    <s v="2bbl"/>
    <n v="3.05"/>
    <n v="3.03"/>
    <n v="9"/>
    <x v="49"/>
    <n v="4800"/>
    <n v="35"/>
    <x v="11"/>
    <n v="5348"/>
  </r>
  <r>
    <n v="1"/>
    <n v="104"/>
    <x v="8"/>
    <x v="0"/>
    <x v="0"/>
    <s v="two"/>
    <x v="3"/>
    <s v="fwd"/>
    <s v="front"/>
    <n v="93.1"/>
    <n v="159.1"/>
    <n v="64.2"/>
    <n v="54.1"/>
    <n v="1890"/>
    <s v="ohc"/>
    <x v="4"/>
    <x v="39"/>
    <s v="2bbl"/>
    <n v="3.03"/>
    <n v="3.15"/>
    <n v="9"/>
    <x v="35"/>
    <n v="5000"/>
    <n v="30"/>
    <x v="18"/>
    <n v="5195"/>
  </r>
  <r>
    <n v="2"/>
    <n v="121"/>
    <x v="21"/>
    <x v="0"/>
    <x v="0"/>
    <s v="two"/>
    <x v="3"/>
    <s v="fwd"/>
    <s v="front"/>
    <n v="88.4"/>
    <n v="141.1"/>
    <n v="60.3"/>
    <n v="53.2"/>
    <n v="1488"/>
    <s v="l"/>
    <x v="6"/>
    <x v="43"/>
    <s v="2bbl"/>
    <n v="2.91"/>
    <n v="3.03"/>
    <n v="9.5"/>
    <x v="59"/>
    <n v="5100"/>
    <n v="47"/>
    <x v="29"/>
    <n v="5151"/>
  </r>
  <r>
    <n v="2"/>
    <n v="83"/>
    <x v="19"/>
    <x v="0"/>
    <x v="0"/>
    <s v="two"/>
    <x v="3"/>
    <s v="fwd"/>
    <s v="front"/>
    <n v="93.7"/>
    <n v="156.9"/>
    <n v="63.4"/>
    <n v="53.7"/>
    <n v="2050"/>
    <s v="ohcf"/>
    <x v="4"/>
    <x v="30"/>
    <s v="2bbl"/>
    <n v="3.62"/>
    <n v="2.36"/>
    <n v="9"/>
    <x v="51"/>
    <n v="4900"/>
    <n v="31"/>
    <x v="24"/>
    <n v="5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875B9-2CEA-487F-8015-92D8B6D61B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3:E16" firstHeaderRow="1" firstDataRow="1" firstDataCol="1"/>
  <pivotFields count="26">
    <pivotField showAll="0"/>
    <pivotField showAll="0"/>
    <pivotField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axis="axisRow"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Average of Price" fld="25" subtotal="average" baseField="4" baseItem="0" numFmtId="167"/>
  </dataFields>
  <formats count="1">
    <format dxfId="12">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16171F-7547-47ED-80DB-38376C630A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6" firstHeaderRow="1" firstDataRow="1" firstDataCol="1"/>
  <pivotFields count="26">
    <pivotField showAll="0"/>
    <pivotField showAll="0"/>
    <pivotField showAll="0">
      <items count="23">
        <item x="13"/>
        <item x="4"/>
        <item x="1"/>
        <item x="21"/>
        <item x="16"/>
        <item x="17"/>
        <item x="11"/>
        <item x="3"/>
        <item x="8"/>
        <item x="0"/>
        <item x="12"/>
        <item x="14"/>
        <item x="6"/>
        <item x="9"/>
        <item x="18"/>
        <item x="2"/>
        <item x="20"/>
        <item x="7"/>
        <item x="19"/>
        <item x="10"/>
        <item x="15"/>
        <item x="5"/>
        <item t="default"/>
      </items>
    </pivotField>
    <pivotField axis="axisRow"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Average of Price" fld="25" subtotal="average" baseField="3" baseItem="0" numFmtId="167"/>
  </dataFields>
  <formats count="1">
    <format dxfId="13">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D37CA-2A55-473D-9BCA-6B22652BDA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36"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Price" fld="25" subtotal="average" baseField="2" baseItem="0" numFmtId="167"/>
  </dataFields>
  <formats count="1">
    <format dxfId="14">
      <pivotArea outline="0" collapsedLevelsAreSubtotals="1" fieldPosition="0"/>
    </format>
  </format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F0F4C5-295B-452C-96B0-71CED6415C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6"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dataField="1" numFmtId="2" showAll="0">
      <items count="45">
        <item x="43"/>
        <item x="31"/>
        <item x="42"/>
        <item x="27"/>
        <item x="23"/>
        <item x="39"/>
        <item x="38"/>
        <item x="30"/>
        <item x="36"/>
        <item x="40"/>
        <item x="22"/>
        <item x="29"/>
        <item x="32"/>
        <item x="41"/>
        <item x="34"/>
        <item x="24"/>
        <item x="17"/>
        <item x="33"/>
        <item x="15"/>
        <item x="7"/>
        <item x="35"/>
        <item x="18"/>
        <item x="16"/>
        <item x="19"/>
        <item x="10"/>
        <item x="11"/>
        <item x="21"/>
        <item x="12"/>
        <item x="20"/>
        <item x="28"/>
        <item x="26"/>
        <item x="9"/>
        <item x="25"/>
        <item x="13"/>
        <item x="14"/>
        <item x="8"/>
        <item x="3"/>
        <item x="37"/>
        <item x="1"/>
        <item x="6"/>
        <item x="5"/>
        <item x="0"/>
        <item x="2"/>
        <item x="4"/>
        <item t="default"/>
      </items>
    </pivotField>
    <pivotField showAll="0"/>
    <pivotField showAll="0"/>
    <pivotField showAll="0"/>
    <pivotField showAll="0"/>
    <pivotField showAll="0"/>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ngine_size" fld="16" subtotal="average" baseField="2" baseItem="0" numFmtId="2"/>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F83815-A978-410D-ACAB-B68EC61EF7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6">
    <pivotField showAll="0"/>
    <pivotField showAll="0"/>
    <pivotField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axis="axisRow"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Average of Price" fld="25" subtotal="average" baseField="6" baseItem="1" numFmtId="167"/>
  </dataFields>
  <formats count="1">
    <format dxfId="16">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E36A5-34F1-4B35-8880-D6456A2587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42"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dataField="1" showAll="0">
      <items count="31">
        <item x="0"/>
        <item x="4"/>
        <item x="6"/>
        <item x="5"/>
        <item x="3"/>
        <item x="1"/>
        <item x="8"/>
        <item x="12"/>
        <item x="2"/>
        <item x="10"/>
        <item x="7"/>
        <item x="9"/>
        <item x="15"/>
        <item x="14"/>
        <item x="18"/>
        <item x="19"/>
        <item x="13"/>
        <item x="21"/>
        <item x="24"/>
        <item x="22"/>
        <item x="17"/>
        <item x="11"/>
        <item x="28"/>
        <item x="20"/>
        <item x="16"/>
        <item x="23"/>
        <item x="25"/>
        <item x="26"/>
        <item x="29"/>
        <item x="27"/>
        <item t="default"/>
      </items>
    </pivotField>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Max of Highway_mpg" fld="24" subtotal="max" baseField="2"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5C9D43-5C1F-481B-8BA8-70DD595FBA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6"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dataField="1" showAll="0">
      <items count="61">
        <item x="59"/>
        <item x="52"/>
        <item x="55"/>
        <item x="53"/>
        <item x="57"/>
        <item x="58"/>
        <item x="49"/>
        <item x="40"/>
        <item x="35"/>
        <item x="51"/>
        <item x="24"/>
        <item x="17"/>
        <item x="41"/>
        <item x="54"/>
        <item x="56"/>
        <item x="47"/>
        <item x="39"/>
        <item x="50"/>
        <item x="43"/>
        <item x="36"/>
        <item x="37"/>
        <item x="38"/>
        <item x="44"/>
        <item x="20"/>
        <item x="25"/>
        <item x="42"/>
        <item x="23"/>
        <item x="34"/>
        <item x="11"/>
        <item x="16"/>
        <item x="28"/>
        <item x="46"/>
        <item x="10"/>
        <item x="22"/>
        <item x="21"/>
        <item x="18"/>
        <item x="8"/>
        <item x="7"/>
        <item x="13"/>
        <item x="31"/>
        <item x="9"/>
        <item x="19"/>
        <item x="12"/>
        <item x="32"/>
        <item x="33"/>
        <item x="29"/>
        <item x="5"/>
        <item x="30"/>
        <item x="6"/>
        <item x="26"/>
        <item x="15"/>
        <item x="27"/>
        <item x="4"/>
        <item x="1"/>
        <item x="0"/>
        <item x="14"/>
        <item x="2"/>
        <item x="3"/>
        <item x="48"/>
        <item x="45"/>
        <item t="default"/>
      </items>
    </pivotField>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Horsepower" fld="21" subtotal="average"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_of_cylinders" xr10:uid="{28684FBD-DD93-4FBC-8289-F95DACC2860C}" sourceName="num_of_cylinders">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7">
        <i x="0" s="1"/>
        <i x="3" s="1"/>
        <i x="4" s="1"/>
        <i x="1" s="1"/>
        <i x="6"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style" xr10:uid="{437403CA-5FAC-4B48-BAF9-FFBD78C2066F}" sourceName="body_styl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piration" xr10:uid="{0AB0F396-74B9-4001-B494-E54F67CD065E}" sourceName="aspiration">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AB923A8C-7313-49D7-8920-108D3EF06D16}" sourceName="fuel_type">
  <pivotTables>
    <pivotTable tabId="4" name="PivotTable2"/>
    <pivotTable tabId="4" name="PivotTable1"/>
    <pivotTable tabId="4" name="PivotTable3"/>
    <pivotTable tabId="4" name="PivotTable4"/>
    <pivotTable tabId="4" name="PivotTable5"/>
    <pivotTable tabId="4" name="PivotTable6"/>
  </pivotTables>
  <data>
    <tabular pivotCacheId="75086416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4DC351EC-13B5-44E2-8719-8BEF647E7DDA}" sourceName="mak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22">
        <i x="13" s="1"/>
        <i x="4" s="1"/>
        <i x="1" s="1"/>
        <i x="21" s="1"/>
        <i x="16" s="1"/>
        <i x="17" s="1"/>
        <i x="11" s="1"/>
        <i x="3" s="1"/>
        <i x="8" s="1"/>
        <i x="0" s="1"/>
        <i x="12" s="1"/>
        <i x="14" s="1"/>
        <i x="6" s="1"/>
        <i x="9" s="1"/>
        <i x="18" s="1"/>
        <i x="2" s="1"/>
        <i x="20" s="1"/>
        <i x="7" s="1"/>
        <i x="19" s="1"/>
        <i x="10" s="1"/>
        <i x="15"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_of_cylinders" xr10:uid="{A024DD0C-FB05-47C5-858B-9B325B578B9F}" cache="Slicer_num_of_cylinders" caption="num_of_cylinders" rowHeight="241300"/>
  <slicer name="body_style" xr10:uid="{8EA5AEA0-E2BA-4A0B-B90A-78AB43DEF3B1}" cache="Slicer_body_style" caption="body_style" rowHeight="241300"/>
  <slicer name="aspiration" xr10:uid="{E1377672-FEFB-4708-A578-8DBC416B5B24}" cache="Slicer_aspiration" caption="aspiration" rowHeight="241300"/>
  <slicer name="fuel_type" xr10:uid="{E2678F44-A90D-4581-87DA-062D7D1A9504}" cache="Slicer_fuel_type" caption="fuel_type" rowHeight="241300"/>
  <slicer name="make" xr10:uid="{9DD39DD2-50B0-4660-8796-C2A44B82C1BE}" cache="Slicer_make" caption="mak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0A2E39-1832-4754-B64F-133EFF53AF80}" name="Table1" displayName="Table1" ref="A1:Z206" totalsRowShown="0" headerRowDxfId="11">
  <autoFilter ref="A1:Z206" xr:uid="{160A2E39-1832-4754-B64F-133EFF53AF80}">
    <filterColumn colId="1">
      <customFilters>
        <customFilter operator="notEqual" val=" "/>
      </customFilters>
    </filterColumn>
    <filterColumn colId="25">
      <customFilters>
        <customFilter operator="notEqual" val=" "/>
      </customFilters>
    </filterColumn>
  </autoFilter>
  <sortState xmlns:xlrd2="http://schemas.microsoft.com/office/spreadsheetml/2017/richdata2" ref="A2:Z206">
    <sortCondition descending="1" ref="Z1:Z206"/>
  </sortState>
  <tableColumns count="26">
    <tableColumn id="1" xr3:uid="{ECD24A88-58CF-462C-89CD-E83134F7BF59}" name="symboling"/>
    <tableColumn id="2" xr3:uid="{012DF503-2664-48B8-8FAA-D04FBADAF935}" name="Normalized_losses" dataDxfId="10"/>
    <tableColumn id="3" xr3:uid="{8B319066-8393-44AD-A83F-FE3F47DE5E41}" name="make" dataDxfId="9"/>
    <tableColumn id="4" xr3:uid="{7BF5D64D-A5C1-4C52-B255-9DF798F397B8}" name="fuel_type" dataDxfId="8"/>
    <tableColumn id="5" xr3:uid="{DCD2EF03-6D47-4B64-B230-775C1C6AD8AA}" name="aspiration"/>
    <tableColumn id="6" xr3:uid="{FAF50A4D-58F6-47B7-BF9E-283ED9C831C8}" name="num_of_doors"/>
    <tableColumn id="7" xr3:uid="{986BF6A4-BC8B-4DAA-906E-2228B49C1D0F}" name="body_style"/>
    <tableColumn id="8" xr3:uid="{1618FC91-5A5D-42F0-BEA7-1708FB69662D}" name="drive_wheels"/>
    <tableColumn id="9" xr3:uid="{8D7A8D89-7EA2-4BC6-B5D8-A2E5681FE640}" name="engine_location"/>
    <tableColumn id="10" xr3:uid="{19CAA6D6-EECE-4634-8E45-DF9BD6FF7723}" name="wheel_base" dataDxfId="7"/>
    <tableColumn id="11" xr3:uid="{C957CD5D-2BD0-49EC-9FD7-852E7383429A}" name="length" dataDxfId="6"/>
    <tableColumn id="12" xr3:uid="{31CE77BB-459A-4CB5-9613-3D2E50D0603A}" name="width" dataDxfId="5"/>
    <tableColumn id="13" xr3:uid="{A85A9DFD-351E-4B6E-A7D8-DC35F1D28E74}" name="height" dataDxfId="4"/>
    <tableColumn id="14" xr3:uid="{F666A4AC-B457-4731-AD48-B83CD657B3C7}" name="curb_weight" dataDxfId="3"/>
    <tableColumn id="15" xr3:uid="{C0608847-FA86-4741-86D7-3693B722BC7F}" name="engine_type"/>
    <tableColumn id="16" xr3:uid="{48BB96F1-0DDB-4022-B19D-4FF8B78D0911}" name="num_of_cylinders"/>
    <tableColumn id="17" xr3:uid="{E2498A9D-A5B5-4D80-B1FC-65BFE2F99E32}" name="engine_size" dataDxfId="2"/>
    <tableColumn id="18" xr3:uid="{1C758E74-9386-4E02-96B7-296BAB152079}" name="fuel_system"/>
    <tableColumn id="19" xr3:uid="{AEE6FD73-426C-4CAE-A0F8-E54C195E916B}" name="bore"/>
    <tableColumn id="20" xr3:uid="{D8473A13-D4CF-45F2-84DF-5BA66975ABA0}" name="stroke"/>
    <tableColumn id="21" xr3:uid="{F4EC4593-C548-4202-80C9-1A84ADB44F02}" name="compression_ratio"/>
    <tableColumn id="22" xr3:uid="{A3CBF686-49B8-4D3B-A50D-F47CAE8A20A8}" name="Horsepower" dataDxfId="1"/>
    <tableColumn id="23" xr3:uid="{41904B6E-26E9-44CA-94D1-726998DC21D7}" name="Peak_rpm"/>
    <tableColumn id="24" xr3:uid="{3BE65A69-2A90-4B2C-BC50-1E2326331B79}" name="city_mpg"/>
    <tableColumn id="25" xr3:uid="{89F3E3B5-1BB9-456D-93CB-4C1B55F68673}" name="Highway_mpg"/>
    <tableColumn id="26" xr3:uid="{6899F353-376C-441C-9619-4E1C8604805E}" name="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0444-4CDF-45AC-9F9E-1220C88E39B3}">
  <dimension ref="A1:AB206"/>
  <sheetViews>
    <sheetView tabSelected="1" workbookViewId="0">
      <selection activeCell="C28" sqref="C28"/>
    </sheetView>
  </sheetViews>
  <sheetFormatPr defaultRowHeight="14.5" x14ac:dyDescent="0.35"/>
  <cols>
    <col min="1" max="1" width="12.81640625" customWidth="1"/>
    <col min="2" max="2" width="19.08984375" style="4" customWidth="1"/>
    <col min="3" max="3" width="18.36328125" style="6" customWidth="1"/>
    <col min="4" max="4" width="14.54296875" style="6" customWidth="1"/>
    <col min="5" max="5" width="12" customWidth="1"/>
    <col min="6" max="6" width="14.453125" customWidth="1"/>
    <col min="7" max="7" width="12.36328125" customWidth="1"/>
    <col min="8" max="8" width="14.26953125" customWidth="1"/>
    <col min="9" max="9" width="16.7265625" customWidth="1"/>
    <col min="10" max="10" width="13.1796875" style="4" bestFit="1" customWidth="1"/>
    <col min="11" max="11" width="9" style="4" bestFit="1" customWidth="1"/>
    <col min="12" max="12" width="9.1796875" style="4" bestFit="1" customWidth="1"/>
    <col min="13" max="13" width="9.7265625" style="4" customWidth="1"/>
    <col min="14" max="14" width="14.7265625" style="4" customWidth="1"/>
    <col min="15" max="15" width="14.453125" customWidth="1"/>
    <col min="16" max="16" width="19.1796875" customWidth="1"/>
    <col min="17" max="17" width="14.08984375" style="4" customWidth="1"/>
    <col min="18" max="18" width="14.7265625" customWidth="1"/>
    <col min="20" max="20" width="10.08984375" customWidth="1"/>
    <col min="21" max="21" width="20" customWidth="1"/>
    <col min="22" max="22" width="14.26953125" style="4" customWidth="1"/>
    <col min="23" max="23" width="12.26953125" customWidth="1"/>
    <col min="24" max="24" width="11.54296875" customWidth="1"/>
    <col min="25" max="25" width="15.26953125" customWidth="1"/>
    <col min="26" max="26" width="8.81640625" style="4" bestFit="1" customWidth="1"/>
    <col min="28" max="28" width="9.36328125" bestFit="1" customWidth="1"/>
  </cols>
  <sheetData>
    <row r="1" spans="1:28" x14ac:dyDescent="0.35">
      <c r="A1" s="1" t="s">
        <v>60</v>
      </c>
      <c r="B1" s="3" t="s">
        <v>80</v>
      </c>
      <c r="C1" s="5" t="s">
        <v>61</v>
      </c>
      <c r="D1" s="7" t="s">
        <v>58</v>
      </c>
      <c r="E1" s="7" t="s">
        <v>59</v>
      </c>
      <c r="F1" s="2" t="s">
        <v>62</v>
      </c>
      <c r="G1" s="2" t="s">
        <v>63</v>
      </c>
      <c r="H1" s="2" t="s">
        <v>64</v>
      </c>
      <c r="I1" s="2" t="s">
        <v>65</v>
      </c>
      <c r="J1" s="3" t="s">
        <v>66</v>
      </c>
      <c r="K1" s="3" t="s">
        <v>67</v>
      </c>
      <c r="L1" s="8" t="s">
        <v>68</v>
      </c>
      <c r="M1" s="8" t="s">
        <v>69</v>
      </c>
      <c r="N1" s="8" t="s">
        <v>70</v>
      </c>
      <c r="O1" s="1" t="s">
        <v>71</v>
      </c>
      <c r="P1" s="1" t="s">
        <v>72</v>
      </c>
      <c r="Q1" s="8" t="s">
        <v>73</v>
      </c>
      <c r="R1" s="1" t="s">
        <v>74</v>
      </c>
      <c r="S1" s="1" t="s">
        <v>75</v>
      </c>
      <c r="T1" s="1" t="s">
        <v>76</v>
      </c>
      <c r="U1" s="1" t="s">
        <v>77</v>
      </c>
      <c r="V1" s="8" t="s">
        <v>84</v>
      </c>
      <c r="W1" s="1" t="s">
        <v>83</v>
      </c>
      <c r="X1" s="1" t="s">
        <v>79</v>
      </c>
      <c r="Y1" s="1" t="s">
        <v>81</v>
      </c>
      <c r="Z1" s="8" t="s">
        <v>82</v>
      </c>
    </row>
    <row r="2" spans="1:28" hidden="1" x14ac:dyDescent="0.35">
      <c r="A2">
        <v>1</v>
      </c>
      <c r="C2" s="6" t="s">
        <v>39</v>
      </c>
      <c r="D2" s="6" t="s">
        <v>1</v>
      </c>
      <c r="E2" t="s">
        <v>2</v>
      </c>
      <c r="F2" t="s">
        <v>3</v>
      </c>
      <c r="G2" t="s">
        <v>40</v>
      </c>
      <c r="H2" t="s">
        <v>5</v>
      </c>
      <c r="I2" t="s">
        <v>6</v>
      </c>
      <c r="J2" s="4">
        <v>112</v>
      </c>
      <c r="K2" s="4">
        <v>199.2</v>
      </c>
      <c r="L2" s="4">
        <v>72</v>
      </c>
      <c r="M2" s="4">
        <v>55.4</v>
      </c>
      <c r="N2" s="4">
        <v>3715</v>
      </c>
      <c r="O2" t="s">
        <v>11</v>
      </c>
      <c r="P2" t="s">
        <v>41</v>
      </c>
      <c r="Q2" s="4">
        <v>304</v>
      </c>
      <c r="R2" t="s">
        <v>9</v>
      </c>
      <c r="S2">
        <v>3.8</v>
      </c>
      <c r="T2">
        <v>3.35</v>
      </c>
      <c r="U2">
        <v>8</v>
      </c>
      <c r="V2" s="4">
        <v>184</v>
      </c>
      <c r="W2">
        <v>4500</v>
      </c>
      <c r="X2">
        <v>14</v>
      </c>
      <c r="Y2">
        <v>16</v>
      </c>
      <c r="Z2" s="4">
        <v>45400</v>
      </c>
    </row>
    <row r="3" spans="1:28" hidden="1" x14ac:dyDescent="0.35">
      <c r="A3">
        <v>0</v>
      </c>
      <c r="C3" s="6" t="s">
        <v>21</v>
      </c>
      <c r="D3" s="6" t="s">
        <v>1</v>
      </c>
      <c r="E3" t="s">
        <v>2</v>
      </c>
      <c r="F3" t="s">
        <v>3</v>
      </c>
      <c r="G3" t="s">
        <v>14</v>
      </c>
      <c r="H3" t="s">
        <v>5</v>
      </c>
      <c r="I3" t="s">
        <v>6</v>
      </c>
      <c r="J3" s="4">
        <v>103.5</v>
      </c>
      <c r="K3" s="4">
        <v>193.8</v>
      </c>
      <c r="L3" s="4">
        <v>67.900000000000006</v>
      </c>
      <c r="M3" s="4">
        <v>53.7</v>
      </c>
      <c r="N3" s="4">
        <v>3380</v>
      </c>
      <c r="O3" t="s">
        <v>16</v>
      </c>
      <c r="P3" t="s">
        <v>12</v>
      </c>
      <c r="Q3" s="4">
        <v>209</v>
      </c>
      <c r="R3" t="s">
        <v>9</v>
      </c>
      <c r="S3">
        <v>3.62</v>
      </c>
      <c r="T3">
        <v>3.39</v>
      </c>
      <c r="U3">
        <v>8</v>
      </c>
      <c r="V3" s="4">
        <v>182</v>
      </c>
      <c r="W3">
        <v>5400</v>
      </c>
      <c r="X3">
        <v>16</v>
      </c>
      <c r="Y3">
        <v>22</v>
      </c>
      <c r="Z3" s="4">
        <v>41315</v>
      </c>
    </row>
    <row r="4" spans="1:28" hidden="1" x14ac:dyDescent="0.35">
      <c r="A4">
        <v>0</v>
      </c>
      <c r="C4" s="6" t="s">
        <v>39</v>
      </c>
      <c r="D4" s="6" t="s">
        <v>1</v>
      </c>
      <c r="E4" t="s">
        <v>2</v>
      </c>
      <c r="F4" t="s">
        <v>8</v>
      </c>
      <c r="G4" t="s">
        <v>14</v>
      </c>
      <c r="H4" t="s">
        <v>5</v>
      </c>
      <c r="I4" t="s">
        <v>6</v>
      </c>
      <c r="J4" s="4">
        <v>120.9</v>
      </c>
      <c r="K4" s="4">
        <v>208.1</v>
      </c>
      <c r="L4" s="4">
        <v>71.7</v>
      </c>
      <c r="M4" s="4">
        <v>56.7</v>
      </c>
      <c r="N4" s="4">
        <v>3900</v>
      </c>
      <c r="O4" t="s">
        <v>11</v>
      </c>
      <c r="P4" t="s">
        <v>41</v>
      </c>
      <c r="Q4" s="4">
        <v>308</v>
      </c>
      <c r="R4" t="s">
        <v>9</v>
      </c>
      <c r="S4">
        <v>3.8</v>
      </c>
      <c r="T4">
        <v>3.35</v>
      </c>
      <c r="U4">
        <v>8</v>
      </c>
      <c r="V4" s="4">
        <v>184</v>
      </c>
      <c r="W4">
        <v>4500</v>
      </c>
      <c r="X4">
        <v>14</v>
      </c>
      <c r="Y4">
        <v>16</v>
      </c>
      <c r="Z4" s="4">
        <v>40960</v>
      </c>
    </row>
    <row r="5" spans="1:28" hidden="1" x14ac:dyDescent="0.35">
      <c r="A5">
        <v>3</v>
      </c>
      <c r="C5" s="6" t="s">
        <v>48</v>
      </c>
      <c r="D5" s="6" t="s">
        <v>1</v>
      </c>
      <c r="E5" t="s">
        <v>2</v>
      </c>
      <c r="F5" t="s">
        <v>3</v>
      </c>
      <c r="G5" t="s">
        <v>4</v>
      </c>
      <c r="H5" t="s">
        <v>5</v>
      </c>
      <c r="I5" t="s">
        <v>49</v>
      </c>
      <c r="J5" s="4">
        <v>89.5</v>
      </c>
      <c r="K5" s="4">
        <v>168.9</v>
      </c>
      <c r="L5" s="4">
        <v>65</v>
      </c>
      <c r="M5" s="4">
        <v>51.6</v>
      </c>
      <c r="N5" s="4">
        <v>2800</v>
      </c>
      <c r="O5" t="s">
        <v>50</v>
      </c>
      <c r="P5" t="s">
        <v>12</v>
      </c>
      <c r="Q5" s="4">
        <v>194</v>
      </c>
      <c r="R5" t="s">
        <v>9</v>
      </c>
      <c r="S5">
        <v>3.74</v>
      </c>
      <c r="T5">
        <v>2.9</v>
      </c>
      <c r="U5">
        <v>9.5</v>
      </c>
      <c r="V5" s="4">
        <v>207</v>
      </c>
      <c r="W5">
        <v>5900</v>
      </c>
      <c r="X5">
        <v>17</v>
      </c>
      <c r="Y5">
        <v>25</v>
      </c>
      <c r="Z5" s="4">
        <v>37028</v>
      </c>
    </row>
    <row r="6" spans="1:28" hidden="1" x14ac:dyDescent="0.35">
      <c r="A6">
        <v>0</v>
      </c>
      <c r="C6" s="6" t="s">
        <v>21</v>
      </c>
      <c r="D6" s="6" t="s">
        <v>1</v>
      </c>
      <c r="E6" t="s">
        <v>2</v>
      </c>
      <c r="F6" t="s">
        <v>8</v>
      </c>
      <c r="G6" t="s">
        <v>14</v>
      </c>
      <c r="H6" t="s">
        <v>5</v>
      </c>
      <c r="I6" t="s">
        <v>6</v>
      </c>
      <c r="J6" s="4">
        <v>110</v>
      </c>
      <c r="K6" s="4">
        <v>197</v>
      </c>
      <c r="L6" s="4">
        <v>70.900000000000006</v>
      </c>
      <c r="M6" s="4">
        <v>56.3</v>
      </c>
      <c r="N6" s="4">
        <v>3505</v>
      </c>
      <c r="O6" t="s">
        <v>16</v>
      </c>
      <c r="P6" t="s">
        <v>12</v>
      </c>
      <c r="Q6" s="4">
        <v>209</v>
      </c>
      <c r="R6" t="s">
        <v>9</v>
      </c>
      <c r="S6">
        <v>3.62</v>
      </c>
      <c r="T6">
        <v>3.39</v>
      </c>
      <c r="U6">
        <v>8</v>
      </c>
      <c r="V6" s="4">
        <v>182</v>
      </c>
      <c r="W6">
        <v>5400</v>
      </c>
      <c r="X6">
        <v>15</v>
      </c>
      <c r="Y6">
        <v>20</v>
      </c>
      <c r="Z6" s="4">
        <v>36880</v>
      </c>
    </row>
    <row r="7" spans="1:28" hidden="1" x14ac:dyDescent="0.35">
      <c r="A7">
        <v>0</v>
      </c>
      <c r="C7" s="6" t="s">
        <v>32</v>
      </c>
      <c r="D7" s="6" t="s">
        <v>1</v>
      </c>
      <c r="E7" t="s">
        <v>2</v>
      </c>
      <c r="F7" t="s">
        <v>3</v>
      </c>
      <c r="G7" t="s">
        <v>14</v>
      </c>
      <c r="H7" t="s">
        <v>5</v>
      </c>
      <c r="I7" t="s">
        <v>6</v>
      </c>
      <c r="J7" s="4">
        <v>102</v>
      </c>
      <c r="K7" s="4">
        <v>191.7</v>
      </c>
      <c r="L7" s="4">
        <v>70.599999999999994</v>
      </c>
      <c r="M7" s="4">
        <v>47.8</v>
      </c>
      <c r="N7" s="4">
        <v>3950</v>
      </c>
      <c r="O7" t="s">
        <v>11</v>
      </c>
      <c r="P7" t="s">
        <v>33</v>
      </c>
      <c r="Q7" s="4">
        <v>326</v>
      </c>
      <c r="R7" t="s">
        <v>9</v>
      </c>
      <c r="S7">
        <v>3.54</v>
      </c>
      <c r="T7">
        <v>2.76</v>
      </c>
      <c r="U7">
        <v>11.5</v>
      </c>
      <c r="V7" s="4">
        <v>262</v>
      </c>
      <c r="W7">
        <v>5000</v>
      </c>
      <c r="X7">
        <v>13</v>
      </c>
      <c r="Y7">
        <v>17</v>
      </c>
      <c r="Z7" s="4">
        <v>36000</v>
      </c>
    </row>
    <row r="8" spans="1:28" hidden="1" x14ac:dyDescent="0.35">
      <c r="A8">
        <v>0</v>
      </c>
      <c r="C8" s="6" t="s">
        <v>32</v>
      </c>
      <c r="D8" s="6" t="s">
        <v>1</v>
      </c>
      <c r="E8" t="s">
        <v>2</v>
      </c>
      <c r="F8" t="s">
        <v>8</v>
      </c>
      <c r="G8" t="s">
        <v>14</v>
      </c>
      <c r="H8" t="s">
        <v>5</v>
      </c>
      <c r="I8" t="s">
        <v>6</v>
      </c>
      <c r="J8" s="4">
        <v>113</v>
      </c>
      <c r="K8" s="4">
        <v>199.6</v>
      </c>
      <c r="L8" s="4">
        <v>69.599999999999994</v>
      </c>
      <c r="M8" s="4">
        <v>52.8</v>
      </c>
      <c r="N8" s="4">
        <v>4066</v>
      </c>
      <c r="O8" t="s">
        <v>7</v>
      </c>
      <c r="P8" t="s">
        <v>12</v>
      </c>
      <c r="Q8" s="4">
        <v>258</v>
      </c>
      <c r="R8" t="s">
        <v>9</v>
      </c>
      <c r="S8">
        <v>3.63</v>
      </c>
      <c r="T8">
        <v>4.17</v>
      </c>
      <c r="U8">
        <v>8.1</v>
      </c>
      <c r="V8" s="4">
        <v>176</v>
      </c>
      <c r="W8">
        <v>4750</v>
      </c>
      <c r="X8">
        <v>15</v>
      </c>
      <c r="Y8">
        <v>19</v>
      </c>
      <c r="Z8" s="4">
        <v>35550</v>
      </c>
    </row>
    <row r="9" spans="1:28" x14ac:dyDescent="0.35">
      <c r="A9">
        <v>3</v>
      </c>
      <c r="B9" s="4">
        <v>142</v>
      </c>
      <c r="C9" s="6" t="s">
        <v>39</v>
      </c>
      <c r="D9" s="6" t="s">
        <v>1</v>
      </c>
      <c r="E9" t="s">
        <v>2</v>
      </c>
      <c r="F9" t="s">
        <v>3</v>
      </c>
      <c r="G9" t="s">
        <v>4</v>
      </c>
      <c r="H9" t="s">
        <v>5</v>
      </c>
      <c r="I9" t="s">
        <v>6</v>
      </c>
      <c r="J9" s="4">
        <v>96.6</v>
      </c>
      <c r="K9" s="4">
        <v>180.3</v>
      </c>
      <c r="L9" s="4">
        <v>70.5</v>
      </c>
      <c r="M9" s="4">
        <v>50.8</v>
      </c>
      <c r="N9" s="4">
        <v>3685</v>
      </c>
      <c r="O9" t="s">
        <v>11</v>
      </c>
      <c r="P9" t="s">
        <v>41</v>
      </c>
      <c r="Q9" s="4">
        <v>234</v>
      </c>
      <c r="R9" t="s">
        <v>9</v>
      </c>
      <c r="S9">
        <v>3.46</v>
      </c>
      <c r="T9">
        <v>3.1</v>
      </c>
      <c r="U9">
        <v>8.3000000000000007</v>
      </c>
      <c r="V9" s="4">
        <v>155</v>
      </c>
      <c r="W9">
        <v>4750</v>
      </c>
      <c r="X9">
        <v>16</v>
      </c>
      <c r="Y9">
        <v>18</v>
      </c>
      <c r="Z9" s="4">
        <v>35056</v>
      </c>
    </row>
    <row r="10" spans="1:28" hidden="1" x14ac:dyDescent="0.35">
      <c r="A10">
        <v>-1</v>
      </c>
      <c r="C10" s="6" t="s">
        <v>39</v>
      </c>
      <c r="D10" s="6" t="s">
        <v>1</v>
      </c>
      <c r="E10" t="s">
        <v>2</v>
      </c>
      <c r="F10" t="s">
        <v>8</v>
      </c>
      <c r="G10" t="s">
        <v>14</v>
      </c>
      <c r="H10" t="s">
        <v>5</v>
      </c>
      <c r="I10" t="s">
        <v>6</v>
      </c>
      <c r="J10" s="4">
        <v>115.6</v>
      </c>
      <c r="K10" s="4">
        <v>202.6</v>
      </c>
      <c r="L10" s="4">
        <v>71.7</v>
      </c>
      <c r="M10" s="4">
        <v>56.5</v>
      </c>
      <c r="N10" s="4">
        <v>3740</v>
      </c>
      <c r="O10" t="s">
        <v>11</v>
      </c>
      <c r="P10" t="s">
        <v>41</v>
      </c>
      <c r="Q10" s="4">
        <v>234</v>
      </c>
      <c r="R10" t="s">
        <v>9</v>
      </c>
      <c r="S10">
        <v>3.46</v>
      </c>
      <c r="T10">
        <v>3.1</v>
      </c>
      <c r="U10">
        <v>8.3000000000000007</v>
      </c>
      <c r="V10" s="4">
        <v>155</v>
      </c>
      <c r="W10">
        <v>4750</v>
      </c>
      <c r="X10">
        <v>16</v>
      </c>
      <c r="Y10">
        <v>18</v>
      </c>
      <c r="Z10" s="4">
        <v>34184</v>
      </c>
    </row>
    <row r="11" spans="1:28" hidden="1" x14ac:dyDescent="0.35">
      <c r="A11">
        <v>0</v>
      </c>
      <c r="C11" s="6" t="s">
        <v>13</v>
      </c>
      <c r="D11" s="6" t="s">
        <v>1</v>
      </c>
      <c r="E11" t="s">
        <v>20</v>
      </c>
      <c r="F11" t="s">
        <v>3</v>
      </c>
      <c r="G11" t="s">
        <v>10</v>
      </c>
      <c r="H11" t="s">
        <v>17</v>
      </c>
      <c r="I11" t="s">
        <v>6</v>
      </c>
      <c r="J11" s="4">
        <v>99.5</v>
      </c>
      <c r="K11" s="4">
        <v>178.2</v>
      </c>
      <c r="L11" s="4">
        <v>67.900000000000006</v>
      </c>
      <c r="M11" s="4">
        <v>52</v>
      </c>
      <c r="N11" s="4">
        <v>3053</v>
      </c>
      <c r="O11" t="s">
        <v>16</v>
      </c>
      <c r="P11" t="s">
        <v>18</v>
      </c>
      <c r="Q11" s="4">
        <v>131</v>
      </c>
      <c r="R11" t="s">
        <v>9</v>
      </c>
      <c r="S11">
        <v>3.13</v>
      </c>
      <c r="T11">
        <v>3.4</v>
      </c>
      <c r="U11">
        <v>7</v>
      </c>
      <c r="V11" s="4">
        <v>160</v>
      </c>
      <c r="W11">
        <v>5500</v>
      </c>
      <c r="X11">
        <v>16</v>
      </c>
      <c r="Y11">
        <v>22</v>
      </c>
    </row>
    <row r="12" spans="1:28" hidden="1" x14ac:dyDescent="0.35">
      <c r="A12">
        <v>3</v>
      </c>
      <c r="C12" s="6" t="s">
        <v>48</v>
      </c>
      <c r="D12" s="6" t="s">
        <v>1</v>
      </c>
      <c r="E12" t="s">
        <v>2</v>
      </c>
      <c r="F12" t="s">
        <v>3</v>
      </c>
      <c r="G12" t="s">
        <v>40</v>
      </c>
      <c r="H12" t="s">
        <v>5</v>
      </c>
      <c r="I12" t="s">
        <v>49</v>
      </c>
      <c r="J12" s="4">
        <v>89.5</v>
      </c>
      <c r="K12" s="4">
        <v>168.9</v>
      </c>
      <c r="L12" s="4">
        <v>65</v>
      </c>
      <c r="M12" s="4">
        <v>51.6</v>
      </c>
      <c r="N12" s="4">
        <v>2756</v>
      </c>
      <c r="O12" t="s">
        <v>50</v>
      </c>
      <c r="P12" t="s">
        <v>12</v>
      </c>
      <c r="Q12" s="4">
        <v>194</v>
      </c>
      <c r="R12" t="s">
        <v>9</v>
      </c>
      <c r="S12">
        <v>3.74</v>
      </c>
      <c r="T12">
        <v>2.9</v>
      </c>
      <c r="U12">
        <v>9.5</v>
      </c>
      <c r="V12" s="4">
        <v>207</v>
      </c>
      <c r="W12">
        <v>5900</v>
      </c>
      <c r="X12">
        <v>17</v>
      </c>
      <c r="Y12">
        <v>25</v>
      </c>
      <c r="Z12" s="4">
        <v>34028</v>
      </c>
    </row>
    <row r="13" spans="1:28" hidden="1" x14ac:dyDescent="0.35">
      <c r="A13">
        <v>3</v>
      </c>
      <c r="C13" s="6" t="s">
        <v>48</v>
      </c>
      <c r="D13" s="6" t="s">
        <v>1</v>
      </c>
      <c r="E13" t="s">
        <v>2</v>
      </c>
      <c r="F13" t="s">
        <v>3</v>
      </c>
      <c r="G13" t="s">
        <v>40</v>
      </c>
      <c r="H13" t="s">
        <v>5</v>
      </c>
      <c r="I13" t="s">
        <v>49</v>
      </c>
      <c r="J13" s="4">
        <v>89.5</v>
      </c>
      <c r="K13" s="4">
        <v>168.9</v>
      </c>
      <c r="L13" s="4">
        <v>65</v>
      </c>
      <c r="M13" s="4">
        <v>51.6</v>
      </c>
      <c r="N13" s="4">
        <v>2756</v>
      </c>
      <c r="O13" t="s">
        <v>50</v>
      </c>
      <c r="P13" t="s">
        <v>12</v>
      </c>
      <c r="Q13" s="4">
        <v>194</v>
      </c>
      <c r="R13" t="s">
        <v>9</v>
      </c>
      <c r="S13">
        <v>3.74</v>
      </c>
      <c r="T13">
        <v>2.9</v>
      </c>
      <c r="U13">
        <v>9.5</v>
      </c>
      <c r="V13" s="4">
        <v>207</v>
      </c>
      <c r="W13">
        <v>5900</v>
      </c>
      <c r="X13">
        <v>17</v>
      </c>
      <c r="Y13">
        <v>25</v>
      </c>
      <c r="Z13" s="4">
        <v>32528</v>
      </c>
    </row>
    <row r="14" spans="1:28" x14ac:dyDescent="0.35">
      <c r="A14">
        <v>0</v>
      </c>
      <c r="B14" s="4">
        <v>145</v>
      </c>
      <c r="C14" s="6" t="s">
        <v>32</v>
      </c>
      <c r="D14" s="6" t="s">
        <v>1</v>
      </c>
      <c r="E14" t="s">
        <v>2</v>
      </c>
      <c r="F14" t="s">
        <v>8</v>
      </c>
      <c r="G14" t="s">
        <v>14</v>
      </c>
      <c r="H14" t="s">
        <v>5</v>
      </c>
      <c r="I14" t="s">
        <v>6</v>
      </c>
      <c r="J14" s="4">
        <v>113</v>
      </c>
      <c r="K14" s="4">
        <v>199.6</v>
      </c>
      <c r="L14" s="4">
        <v>69.599999999999994</v>
      </c>
      <c r="M14" s="4">
        <v>52.8</v>
      </c>
      <c r="N14" s="4">
        <v>4066</v>
      </c>
      <c r="O14" t="s">
        <v>7</v>
      </c>
      <c r="P14" t="s">
        <v>12</v>
      </c>
      <c r="Q14" s="4">
        <v>258</v>
      </c>
      <c r="R14" t="s">
        <v>9</v>
      </c>
      <c r="S14">
        <v>3.63</v>
      </c>
      <c r="T14">
        <v>4.17</v>
      </c>
      <c r="U14">
        <v>8.1</v>
      </c>
      <c r="V14" s="4">
        <v>176</v>
      </c>
      <c r="W14">
        <v>4750</v>
      </c>
      <c r="X14">
        <v>15</v>
      </c>
      <c r="Y14">
        <v>19</v>
      </c>
      <c r="Z14" s="4">
        <v>32250</v>
      </c>
      <c r="AB14" s="9"/>
    </row>
    <row r="15" spans="1:28" x14ac:dyDescent="0.35">
      <c r="A15">
        <v>-1</v>
      </c>
      <c r="B15" s="4">
        <v>93</v>
      </c>
      <c r="C15" s="6" t="s">
        <v>39</v>
      </c>
      <c r="D15" s="6" t="s">
        <v>37</v>
      </c>
      <c r="E15" t="s">
        <v>20</v>
      </c>
      <c r="F15" t="s">
        <v>8</v>
      </c>
      <c r="G15" t="s">
        <v>14</v>
      </c>
      <c r="H15" t="s">
        <v>5</v>
      </c>
      <c r="I15" t="s">
        <v>6</v>
      </c>
      <c r="J15" s="4">
        <v>115.6</v>
      </c>
      <c r="K15" s="4">
        <v>202.6</v>
      </c>
      <c r="L15" s="4">
        <v>71.7</v>
      </c>
      <c r="M15" s="4">
        <v>56.3</v>
      </c>
      <c r="N15" s="4">
        <v>3770</v>
      </c>
      <c r="O15" t="s">
        <v>16</v>
      </c>
      <c r="P15" t="s">
        <v>18</v>
      </c>
      <c r="Q15" s="4">
        <v>183</v>
      </c>
      <c r="R15" t="s">
        <v>38</v>
      </c>
      <c r="S15">
        <v>3.58</v>
      </c>
      <c r="T15">
        <v>3.64</v>
      </c>
      <c r="U15">
        <v>21.5</v>
      </c>
      <c r="V15" s="4">
        <v>123</v>
      </c>
      <c r="W15">
        <v>4350</v>
      </c>
      <c r="X15">
        <v>22</v>
      </c>
      <c r="Y15">
        <v>25</v>
      </c>
      <c r="Z15" s="4">
        <v>31600</v>
      </c>
      <c r="AB15" s="10"/>
    </row>
    <row r="16" spans="1:28" hidden="1" x14ac:dyDescent="0.35">
      <c r="A16">
        <v>0</v>
      </c>
      <c r="C16" s="6" t="s">
        <v>21</v>
      </c>
      <c r="D16" s="6" t="s">
        <v>1</v>
      </c>
      <c r="E16" t="s">
        <v>2</v>
      </c>
      <c r="F16" t="s">
        <v>8</v>
      </c>
      <c r="G16" t="s">
        <v>14</v>
      </c>
      <c r="H16" t="s">
        <v>5</v>
      </c>
      <c r="I16" t="s">
        <v>6</v>
      </c>
      <c r="J16" s="4">
        <v>103.5</v>
      </c>
      <c r="K16" s="4">
        <v>189</v>
      </c>
      <c r="L16" s="4">
        <v>66.900000000000006</v>
      </c>
      <c r="M16" s="4">
        <v>55.7</v>
      </c>
      <c r="N16" s="4">
        <v>3230</v>
      </c>
      <c r="O16" t="s">
        <v>16</v>
      </c>
      <c r="P16" t="s">
        <v>12</v>
      </c>
      <c r="Q16" s="4">
        <v>209</v>
      </c>
      <c r="R16" t="s">
        <v>9</v>
      </c>
      <c r="S16">
        <v>3.62</v>
      </c>
      <c r="T16">
        <v>3.39</v>
      </c>
      <c r="U16">
        <v>8</v>
      </c>
      <c r="V16" s="4">
        <v>182</v>
      </c>
      <c r="W16">
        <v>5400</v>
      </c>
      <c r="X16">
        <v>16</v>
      </c>
      <c r="Y16">
        <v>22</v>
      </c>
      <c r="Z16" s="4">
        <v>30760</v>
      </c>
    </row>
    <row r="17" spans="1:26" x14ac:dyDescent="0.35">
      <c r="A17">
        <v>-1</v>
      </c>
      <c r="B17" s="4">
        <v>93</v>
      </c>
      <c r="C17" s="6" t="s">
        <v>39</v>
      </c>
      <c r="D17" s="6" t="s">
        <v>37</v>
      </c>
      <c r="E17" t="s">
        <v>20</v>
      </c>
      <c r="F17" t="s">
        <v>8</v>
      </c>
      <c r="G17" t="s">
        <v>19</v>
      </c>
      <c r="H17" t="s">
        <v>5</v>
      </c>
      <c r="I17" t="s">
        <v>6</v>
      </c>
      <c r="J17" s="4">
        <v>110</v>
      </c>
      <c r="K17" s="4">
        <v>190.9</v>
      </c>
      <c r="L17" s="4">
        <v>70.3</v>
      </c>
      <c r="M17" s="4">
        <v>58.7</v>
      </c>
      <c r="N17" s="4">
        <v>3750</v>
      </c>
      <c r="O17" t="s">
        <v>16</v>
      </c>
      <c r="P17" t="s">
        <v>18</v>
      </c>
      <c r="Q17" s="4">
        <v>183</v>
      </c>
      <c r="R17" t="s">
        <v>38</v>
      </c>
      <c r="S17">
        <v>3.58</v>
      </c>
      <c r="T17">
        <v>3.64</v>
      </c>
      <c r="U17">
        <v>21.5</v>
      </c>
      <c r="V17" s="4">
        <v>123</v>
      </c>
      <c r="W17">
        <v>4350</v>
      </c>
      <c r="X17">
        <v>22</v>
      </c>
      <c r="Y17">
        <v>25</v>
      </c>
      <c r="Z17" s="4">
        <v>28248</v>
      </c>
    </row>
    <row r="18" spans="1:26" x14ac:dyDescent="0.35">
      <c r="A18">
        <v>0</v>
      </c>
      <c r="B18" s="4">
        <v>93</v>
      </c>
      <c r="C18" s="6" t="s">
        <v>39</v>
      </c>
      <c r="D18" s="6" t="s">
        <v>37</v>
      </c>
      <c r="E18" t="s">
        <v>20</v>
      </c>
      <c r="F18" t="s">
        <v>3</v>
      </c>
      <c r="G18" t="s">
        <v>40</v>
      </c>
      <c r="H18" t="s">
        <v>5</v>
      </c>
      <c r="I18" t="s">
        <v>6</v>
      </c>
      <c r="J18" s="4">
        <v>106.7</v>
      </c>
      <c r="K18" s="4">
        <v>187.5</v>
      </c>
      <c r="L18" s="4">
        <v>70.3</v>
      </c>
      <c r="M18" s="4">
        <v>54.9</v>
      </c>
      <c r="N18" s="4">
        <v>3495</v>
      </c>
      <c r="O18" t="s">
        <v>16</v>
      </c>
      <c r="P18" t="s">
        <v>18</v>
      </c>
      <c r="Q18" s="4">
        <v>183</v>
      </c>
      <c r="R18" t="s">
        <v>38</v>
      </c>
      <c r="S18">
        <v>3.58</v>
      </c>
      <c r="T18">
        <v>3.64</v>
      </c>
      <c r="U18">
        <v>21.5</v>
      </c>
      <c r="V18" s="4">
        <v>123</v>
      </c>
      <c r="W18">
        <v>4350</v>
      </c>
      <c r="X18">
        <v>22</v>
      </c>
      <c r="Y18">
        <v>25</v>
      </c>
      <c r="Z18" s="4">
        <v>28176</v>
      </c>
    </row>
    <row r="19" spans="1:26" x14ac:dyDescent="0.35">
      <c r="A19">
        <v>-1</v>
      </c>
      <c r="B19" s="4">
        <v>93</v>
      </c>
      <c r="C19" s="6" t="s">
        <v>39</v>
      </c>
      <c r="D19" s="6" t="s">
        <v>37</v>
      </c>
      <c r="E19" t="s">
        <v>20</v>
      </c>
      <c r="F19" t="s">
        <v>8</v>
      </c>
      <c r="G19" t="s">
        <v>14</v>
      </c>
      <c r="H19" t="s">
        <v>5</v>
      </c>
      <c r="I19" t="s">
        <v>6</v>
      </c>
      <c r="J19" s="4">
        <v>110</v>
      </c>
      <c r="K19" s="4">
        <v>190.9</v>
      </c>
      <c r="L19" s="4">
        <v>70.3</v>
      </c>
      <c r="M19" s="4">
        <v>56.5</v>
      </c>
      <c r="N19" s="4">
        <v>3515</v>
      </c>
      <c r="O19" t="s">
        <v>16</v>
      </c>
      <c r="P19" t="s">
        <v>18</v>
      </c>
      <c r="Q19" s="4">
        <v>183</v>
      </c>
      <c r="R19" t="s">
        <v>38</v>
      </c>
      <c r="S19">
        <v>3.58</v>
      </c>
      <c r="T19">
        <v>3.64</v>
      </c>
      <c r="U19">
        <v>21.5</v>
      </c>
      <c r="V19" s="4">
        <v>123</v>
      </c>
      <c r="W19">
        <v>4350</v>
      </c>
      <c r="X19">
        <v>22</v>
      </c>
      <c r="Y19">
        <v>25</v>
      </c>
      <c r="Z19" s="4">
        <v>25552</v>
      </c>
    </row>
    <row r="20" spans="1:26" hidden="1" x14ac:dyDescent="0.35">
      <c r="A20">
        <v>1</v>
      </c>
      <c r="C20" s="6" t="s">
        <v>21</v>
      </c>
      <c r="D20" s="6" t="s">
        <v>1</v>
      </c>
      <c r="E20" t="s">
        <v>2</v>
      </c>
      <c r="F20" t="s">
        <v>8</v>
      </c>
      <c r="G20" t="s">
        <v>14</v>
      </c>
      <c r="H20" t="s">
        <v>5</v>
      </c>
      <c r="I20" t="s">
        <v>6</v>
      </c>
      <c r="J20" s="4">
        <v>103.5</v>
      </c>
      <c r="K20" s="4">
        <v>189</v>
      </c>
      <c r="L20" s="4">
        <v>66.900000000000006</v>
      </c>
      <c r="M20" s="4">
        <v>55.7</v>
      </c>
      <c r="N20" s="4">
        <v>3055</v>
      </c>
      <c r="O20" t="s">
        <v>16</v>
      </c>
      <c r="P20" t="s">
        <v>12</v>
      </c>
      <c r="Q20" s="4">
        <v>164</v>
      </c>
      <c r="R20" t="s">
        <v>9</v>
      </c>
      <c r="S20">
        <v>3.31</v>
      </c>
      <c r="T20">
        <v>3.19</v>
      </c>
      <c r="U20">
        <v>9</v>
      </c>
      <c r="V20" s="4">
        <v>121</v>
      </c>
      <c r="W20">
        <v>4250</v>
      </c>
      <c r="X20">
        <v>20</v>
      </c>
      <c r="Y20">
        <v>25</v>
      </c>
      <c r="Z20" s="4">
        <v>24565</v>
      </c>
    </row>
    <row r="21" spans="1:26" x14ac:dyDescent="0.35">
      <c r="A21">
        <v>1</v>
      </c>
      <c r="B21" s="4">
        <v>158</v>
      </c>
      <c r="C21" s="6" t="s">
        <v>13</v>
      </c>
      <c r="D21" s="6" t="s">
        <v>1</v>
      </c>
      <c r="E21" t="s">
        <v>20</v>
      </c>
      <c r="F21" t="s">
        <v>8</v>
      </c>
      <c r="G21" t="s">
        <v>14</v>
      </c>
      <c r="H21" t="s">
        <v>15</v>
      </c>
      <c r="I21" t="s">
        <v>6</v>
      </c>
      <c r="J21" s="4">
        <v>105.8</v>
      </c>
      <c r="K21" s="4">
        <v>192.7</v>
      </c>
      <c r="L21" s="4">
        <v>71.400000000000006</v>
      </c>
      <c r="M21" s="4">
        <v>55.9</v>
      </c>
      <c r="N21" s="4">
        <v>3086</v>
      </c>
      <c r="O21" t="s">
        <v>16</v>
      </c>
      <c r="P21" t="s">
        <v>18</v>
      </c>
      <c r="Q21" s="4">
        <v>131</v>
      </c>
      <c r="R21" t="s">
        <v>9</v>
      </c>
      <c r="S21">
        <v>3.13</v>
      </c>
      <c r="T21">
        <v>3.4</v>
      </c>
      <c r="U21">
        <v>8.3000000000000007</v>
      </c>
      <c r="V21" s="4">
        <v>140</v>
      </c>
      <c r="W21">
        <v>5500</v>
      </c>
      <c r="X21">
        <v>17</v>
      </c>
      <c r="Y21">
        <v>20</v>
      </c>
      <c r="Z21" s="4">
        <v>23875</v>
      </c>
    </row>
    <row r="22" spans="1:26" x14ac:dyDescent="0.35">
      <c r="A22">
        <v>-1</v>
      </c>
      <c r="B22" s="4">
        <v>95</v>
      </c>
      <c r="C22" s="6" t="s">
        <v>57</v>
      </c>
      <c r="D22" s="6" t="s">
        <v>1</v>
      </c>
      <c r="E22" t="s">
        <v>20</v>
      </c>
      <c r="F22" t="s">
        <v>8</v>
      </c>
      <c r="G22" t="s">
        <v>14</v>
      </c>
      <c r="H22" t="s">
        <v>5</v>
      </c>
      <c r="I22" t="s">
        <v>6</v>
      </c>
      <c r="J22" s="4">
        <v>109.1</v>
      </c>
      <c r="K22" s="4">
        <v>188.8</v>
      </c>
      <c r="L22" s="4">
        <v>68.900000000000006</v>
      </c>
      <c r="M22" s="4">
        <v>55.5</v>
      </c>
      <c r="N22" s="4">
        <v>3062</v>
      </c>
      <c r="O22" t="s">
        <v>16</v>
      </c>
      <c r="P22" t="s">
        <v>8</v>
      </c>
      <c r="Q22" s="4">
        <v>141</v>
      </c>
      <c r="R22" t="s">
        <v>9</v>
      </c>
      <c r="S22">
        <v>3.78</v>
      </c>
      <c r="T22">
        <v>3.15</v>
      </c>
      <c r="U22">
        <v>9.5</v>
      </c>
      <c r="V22" s="4">
        <v>114</v>
      </c>
      <c r="W22">
        <v>5400</v>
      </c>
      <c r="X22">
        <v>19</v>
      </c>
      <c r="Y22">
        <v>25</v>
      </c>
      <c r="Z22" s="4">
        <v>22625</v>
      </c>
    </row>
    <row r="23" spans="1:26" x14ac:dyDescent="0.35">
      <c r="A23">
        <v>-1</v>
      </c>
      <c r="B23" s="4">
        <v>95</v>
      </c>
      <c r="C23" s="6" t="s">
        <v>57</v>
      </c>
      <c r="D23" s="6" t="s">
        <v>37</v>
      </c>
      <c r="E23" t="s">
        <v>20</v>
      </c>
      <c r="F23" t="s">
        <v>8</v>
      </c>
      <c r="G23" t="s">
        <v>14</v>
      </c>
      <c r="H23" t="s">
        <v>5</v>
      </c>
      <c r="I23" t="s">
        <v>6</v>
      </c>
      <c r="J23" s="4">
        <v>109.1</v>
      </c>
      <c r="K23" s="4">
        <v>188.8</v>
      </c>
      <c r="L23" s="4">
        <v>68.900000000000006</v>
      </c>
      <c r="M23" s="4">
        <v>55.5</v>
      </c>
      <c r="N23" s="4">
        <v>3217</v>
      </c>
      <c r="O23" t="s">
        <v>16</v>
      </c>
      <c r="P23" t="s">
        <v>12</v>
      </c>
      <c r="Q23" s="4">
        <v>145</v>
      </c>
      <c r="R23" t="s">
        <v>38</v>
      </c>
      <c r="S23">
        <v>3.01</v>
      </c>
      <c r="T23">
        <v>3.4</v>
      </c>
      <c r="U23">
        <v>23</v>
      </c>
      <c r="V23" s="4">
        <v>106</v>
      </c>
      <c r="W23">
        <v>4800</v>
      </c>
      <c r="X23">
        <v>26</v>
      </c>
      <c r="Y23">
        <v>27</v>
      </c>
      <c r="Z23" s="4">
        <v>22470</v>
      </c>
    </row>
    <row r="24" spans="1:26" x14ac:dyDescent="0.35">
      <c r="A24">
        <v>3</v>
      </c>
      <c r="B24" s="4">
        <v>186</v>
      </c>
      <c r="C24" s="6" t="s">
        <v>48</v>
      </c>
      <c r="D24" s="6" t="s">
        <v>1</v>
      </c>
      <c r="E24" t="s">
        <v>2</v>
      </c>
      <c r="F24" t="s">
        <v>3</v>
      </c>
      <c r="G24" t="s">
        <v>10</v>
      </c>
      <c r="H24" t="s">
        <v>5</v>
      </c>
      <c r="I24" t="s">
        <v>6</v>
      </c>
      <c r="J24" s="4">
        <v>94.5</v>
      </c>
      <c r="K24" s="4">
        <v>168.9</v>
      </c>
      <c r="L24" s="4">
        <v>68.3</v>
      </c>
      <c r="M24" s="4">
        <v>50.2</v>
      </c>
      <c r="N24" s="4">
        <v>2778</v>
      </c>
      <c r="O24" t="s">
        <v>16</v>
      </c>
      <c r="P24" t="s">
        <v>8</v>
      </c>
      <c r="Q24" s="4">
        <v>151</v>
      </c>
      <c r="R24" t="s">
        <v>9</v>
      </c>
      <c r="S24">
        <v>3.94</v>
      </c>
      <c r="T24">
        <v>3.11</v>
      </c>
      <c r="U24">
        <v>9.5</v>
      </c>
      <c r="V24" s="4">
        <v>143</v>
      </c>
      <c r="W24">
        <v>5500</v>
      </c>
      <c r="X24">
        <v>19</v>
      </c>
      <c r="Y24">
        <v>27</v>
      </c>
      <c r="Z24" s="4">
        <v>22018</v>
      </c>
    </row>
    <row r="25" spans="1:26" x14ac:dyDescent="0.35">
      <c r="A25">
        <v>-1</v>
      </c>
      <c r="B25" s="4">
        <v>95</v>
      </c>
      <c r="C25" s="6" t="s">
        <v>57</v>
      </c>
      <c r="D25" s="6" t="s">
        <v>1</v>
      </c>
      <c r="E25" t="s">
        <v>2</v>
      </c>
      <c r="F25" t="s">
        <v>8</v>
      </c>
      <c r="G25" t="s">
        <v>14</v>
      </c>
      <c r="H25" t="s">
        <v>5</v>
      </c>
      <c r="I25" t="s">
        <v>6</v>
      </c>
      <c r="J25" s="4">
        <v>109.1</v>
      </c>
      <c r="K25" s="4">
        <v>188.8</v>
      </c>
      <c r="L25" s="4">
        <v>68.900000000000006</v>
      </c>
      <c r="M25" s="4">
        <v>55.5</v>
      </c>
      <c r="N25" s="4">
        <v>3012</v>
      </c>
      <c r="O25" t="s">
        <v>11</v>
      </c>
      <c r="P25" t="s">
        <v>12</v>
      </c>
      <c r="Q25" s="4">
        <v>173</v>
      </c>
      <c r="R25" t="s">
        <v>9</v>
      </c>
      <c r="S25">
        <v>3.58</v>
      </c>
      <c r="T25">
        <v>2.87</v>
      </c>
      <c r="U25">
        <v>8.8000000000000007</v>
      </c>
      <c r="V25" s="4">
        <v>134</v>
      </c>
      <c r="W25">
        <v>5500</v>
      </c>
      <c r="X25">
        <v>18</v>
      </c>
      <c r="Y25">
        <v>23</v>
      </c>
      <c r="Z25" s="4">
        <v>21485</v>
      </c>
    </row>
    <row r="26" spans="1:26" x14ac:dyDescent="0.35">
      <c r="A26">
        <v>0</v>
      </c>
      <c r="B26" s="4">
        <v>188</v>
      </c>
      <c r="C26" s="6" t="s">
        <v>21</v>
      </c>
      <c r="D26" s="6" t="s">
        <v>1</v>
      </c>
      <c r="E26" t="s">
        <v>2</v>
      </c>
      <c r="F26" t="s">
        <v>8</v>
      </c>
      <c r="G26" t="s">
        <v>14</v>
      </c>
      <c r="H26" t="s">
        <v>5</v>
      </c>
      <c r="I26" t="s">
        <v>6</v>
      </c>
      <c r="J26" s="4">
        <v>101.2</v>
      </c>
      <c r="K26" s="4">
        <v>176.8</v>
      </c>
      <c r="L26" s="4">
        <v>64.8</v>
      </c>
      <c r="M26" s="4">
        <v>54.3</v>
      </c>
      <c r="N26" s="4">
        <v>2765</v>
      </c>
      <c r="O26" t="s">
        <v>16</v>
      </c>
      <c r="P26" t="s">
        <v>12</v>
      </c>
      <c r="Q26" s="4">
        <v>164</v>
      </c>
      <c r="R26" t="s">
        <v>9</v>
      </c>
      <c r="S26">
        <v>3.31</v>
      </c>
      <c r="T26">
        <v>3.19</v>
      </c>
      <c r="U26">
        <v>9</v>
      </c>
      <c r="V26" s="4">
        <v>121</v>
      </c>
      <c r="W26">
        <v>4250</v>
      </c>
      <c r="X26">
        <v>21</v>
      </c>
      <c r="Y26">
        <v>28</v>
      </c>
      <c r="Z26" s="4">
        <v>21105</v>
      </c>
    </row>
    <row r="27" spans="1:26" x14ac:dyDescent="0.35">
      <c r="A27">
        <v>0</v>
      </c>
      <c r="B27" s="4">
        <v>188</v>
      </c>
      <c r="C27" s="6" t="s">
        <v>21</v>
      </c>
      <c r="D27" s="6" t="s">
        <v>1</v>
      </c>
      <c r="E27" t="s">
        <v>2</v>
      </c>
      <c r="F27" t="s">
        <v>3</v>
      </c>
      <c r="G27" t="s">
        <v>14</v>
      </c>
      <c r="H27" t="s">
        <v>5</v>
      </c>
      <c r="I27" t="s">
        <v>6</v>
      </c>
      <c r="J27" s="4">
        <v>101.2</v>
      </c>
      <c r="K27" s="4">
        <v>176.8</v>
      </c>
      <c r="L27" s="4">
        <v>64.8</v>
      </c>
      <c r="M27" s="4">
        <v>54.3</v>
      </c>
      <c r="N27" s="4">
        <v>2710</v>
      </c>
      <c r="O27" t="s">
        <v>16</v>
      </c>
      <c r="P27" t="s">
        <v>12</v>
      </c>
      <c r="Q27" s="4">
        <v>164</v>
      </c>
      <c r="R27" t="s">
        <v>9</v>
      </c>
      <c r="S27">
        <v>3.31</v>
      </c>
      <c r="T27">
        <v>3.19</v>
      </c>
      <c r="U27">
        <v>9</v>
      </c>
      <c r="V27" s="4">
        <v>121</v>
      </c>
      <c r="W27">
        <v>4250</v>
      </c>
      <c r="X27">
        <v>21</v>
      </c>
      <c r="Y27">
        <v>28</v>
      </c>
      <c r="Z27" s="4">
        <v>20970</v>
      </c>
    </row>
    <row r="28" spans="1:26" x14ac:dyDescent="0.35">
      <c r="A28">
        <v>3</v>
      </c>
      <c r="B28" s="4">
        <v>194</v>
      </c>
      <c r="C28" s="6" t="s">
        <v>45</v>
      </c>
      <c r="D28" s="6" t="s">
        <v>1</v>
      </c>
      <c r="E28" t="s">
        <v>20</v>
      </c>
      <c r="F28" t="s">
        <v>3</v>
      </c>
      <c r="G28" t="s">
        <v>10</v>
      </c>
      <c r="H28" t="s">
        <v>5</v>
      </c>
      <c r="I28" t="s">
        <v>6</v>
      </c>
      <c r="J28" s="4">
        <v>91.3</v>
      </c>
      <c r="K28" s="4">
        <v>170.7</v>
      </c>
      <c r="L28" s="4">
        <v>67.900000000000006</v>
      </c>
      <c r="M28" s="4">
        <v>49.7</v>
      </c>
      <c r="N28" s="4">
        <v>3139</v>
      </c>
      <c r="O28" t="s">
        <v>11</v>
      </c>
      <c r="P28" t="s">
        <v>12</v>
      </c>
      <c r="Q28" s="4">
        <v>181</v>
      </c>
      <c r="R28" t="s">
        <v>9</v>
      </c>
      <c r="S28">
        <v>3.43</v>
      </c>
      <c r="T28">
        <v>3.27</v>
      </c>
      <c r="U28">
        <v>7.8</v>
      </c>
      <c r="V28" s="4">
        <v>200</v>
      </c>
      <c r="W28">
        <v>5200</v>
      </c>
      <c r="X28">
        <v>17</v>
      </c>
      <c r="Y28">
        <v>23</v>
      </c>
      <c r="Z28" s="4">
        <v>19699</v>
      </c>
    </row>
    <row r="29" spans="1:26" x14ac:dyDescent="0.35">
      <c r="A29">
        <v>-1</v>
      </c>
      <c r="B29" s="4">
        <v>95</v>
      </c>
      <c r="C29" s="6" t="s">
        <v>57</v>
      </c>
      <c r="D29" s="6" t="s">
        <v>1</v>
      </c>
      <c r="E29" t="s">
        <v>20</v>
      </c>
      <c r="F29" t="s">
        <v>8</v>
      </c>
      <c r="G29" t="s">
        <v>14</v>
      </c>
      <c r="H29" t="s">
        <v>5</v>
      </c>
      <c r="I29" t="s">
        <v>6</v>
      </c>
      <c r="J29" s="4">
        <v>109.1</v>
      </c>
      <c r="K29" s="4">
        <v>188.8</v>
      </c>
      <c r="L29" s="4">
        <v>68.8</v>
      </c>
      <c r="M29" s="4">
        <v>55.5</v>
      </c>
      <c r="N29" s="4">
        <v>3049</v>
      </c>
      <c r="O29" t="s">
        <v>16</v>
      </c>
      <c r="P29" t="s">
        <v>8</v>
      </c>
      <c r="Q29" s="4">
        <v>141</v>
      </c>
      <c r="R29" t="s">
        <v>9</v>
      </c>
      <c r="S29">
        <v>3.78</v>
      </c>
      <c r="T29">
        <v>3.15</v>
      </c>
      <c r="U29">
        <v>8.6999999999999993</v>
      </c>
      <c r="V29" s="4">
        <v>160</v>
      </c>
      <c r="W29">
        <v>5300</v>
      </c>
      <c r="X29">
        <v>19</v>
      </c>
      <c r="Y29">
        <v>25</v>
      </c>
      <c r="Z29" s="4">
        <v>19045</v>
      </c>
    </row>
    <row r="30" spans="1:26" x14ac:dyDescent="0.35">
      <c r="A30">
        <v>-1</v>
      </c>
      <c r="B30" s="4">
        <v>74</v>
      </c>
      <c r="C30" s="6" t="s">
        <v>57</v>
      </c>
      <c r="D30" s="6" t="s">
        <v>1</v>
      </c>
      <c r="E30" t="s">
        <v>20</v>
      </c>
      <c r="F30" t="s">
        <v>8</v>
      </c>
      <c r="G30" t="s">
        <v>19</v>
      </c>
      <c r="H30" t="s">
        <v>5</v>
      </c>
      <c r="I30" t="s">
        <v>6</v>
      </c>
      <c r="J30" s="4">
        <v>104.3</v>
      </c>
      <c r="K30" s="4">
        <v>188.8</v>
      </c>
      <c r="L30" s="4">
        <v>67.2</v>
      </c>
      <c r="M30" s="4">
        <v>57.5</v>
      </c>
      <c r="N30" s="4">
        <v>3157</v>
      </c>
      <c r="O30" t="s">
        <v>16</v>
      </c>
      <c r="P30" t="s">
        <v>8</v>
      </c>
      <c r="Q30" s="4">
        <v>130</v>
      </c>
      <c r="R30" t="s">
        <v>9</v>
      </c>
      <c r="S30">
        <v>3.62</v>
      </c>
      <c r="T30">
        <v>3.15</v>
      </c>
      <c r="U30">
        <v>7.5</v>
      </c>
      <c r="V30" s="4">
        <v>162</v>
      </c>
      <c r="W30">
        <v>5100</v>
      </c>
      <c r="X30">
        <v>17</v>
      </c>
      <c r="Y30">
        <v>22</v>
      </c>
      <c r="Z30" s="4">
        <v>18950</v>
      </c>
    </row>
    <row r="31" spans="1:26" hidden="1" x14ac:dyDescent="0.35">
      <c r="A31">
        <v>1</v>
      </c>
      <c r="C31" s="6" t="s">
        <v>13</v>
      </c>
      <c r="D31" s="6" t="s">
        <v>1</v>
      </c>
      <c r="E31" t="s">
        <v>2</v>
      </c>
      <c r="F31" t="s">
        <v>8</v>
      </c>
      <c r="G31" t="s">
        <v>19</v>
      </c>
      <c r="H31" t="s">
        <v>15</v>
      </c>
      <c r="I31" t="s">
        <v>6</v>
      </c>
      <c r="J31" s="4">
        <v>105.8</v>
      </c>
      <c r="K31" s="4">
        <v>192.7</v>
      </c>
      <c r="L31" s="4">
        <v>71.400000000000006</v>
      </c>
      <c r="M31" s="4">
        <v>55.7</v>
      </c>
      <c r="N31" s="4">
        <v>2954</v>
      </c>
      <c r="O31" t="s">
        <v>16</v>
      </c>
      <c r="P31" t="s">
        <v>18</v>
      </c>
      <c r="Q31" s="4">
        <v>136</v>
      </c>
      <c r="R31" t="s">
        <v>9</v>
      </c>
      <c r="S31">
        <v>3.19</v>
      </c>
      <c r="T31">
        <v>3.4</v>
      </c>
      <c r="U31">
        <v>8.5</v>
      </c>
      <c r="V31" s="4">
        <v>110</v>
      </c>
      <c r="W31">
        <v>5500</v>
      </c>
      <c r="X31">
        <v>19</v>
      </c>
      <c r="Y31">
        <v>25</v>
      </c>
      <c r="Z31" s="4">
        <v>18920</v>
      </c>
    </row>
    <row r="32" spans="1:26" x14ac:dyDescent="0.35">
      <c r="A32">
        <v>2</v>
      </c>
      <c r="B32" s="4">
        <v>104</v>
      </c>
      <c r="C32" s="6" t="s">
        <v>53</v>
      </c>
      <c r="D32" s="6" t="s">
        <v>1</v>
      </c>
      <c r="E32" t="s">
        <v>20</v>
      </c>
      <c r="F32" t="s">
        <v>8</v>
      </c>
      <c r="G32" t="s">
        <v>14</v>
      </c>
      <c r="H32" t="s">
        <v>15</v>
      </c>
      <c r="I32" t="s">
        <v>6</v>
      </c>
      <c r="J32" s="4">
        <v>99.1</v>
      </c>
      <c r="K32" s="4">
        <v>186.6</v>
      </c>
      <c r="L32" s="4">
        <v>66.5</v>
      </c>
      <c r="M32" s="4">
        <v>56.1</v>
      </c>
      <c r="N32" s="4">
        <v>2847</v>
      </c>
      <c r="O32" t="s">
        <v>7</v>
      </c>
      <c r="P32" t="s">
        <v>8</v>
      </c>
      <c r="Q32" s="4">
        <v>121</v>
      </c>
      <c r="R32" t="s">
        <v>9</v>
      </c>
      <c r="S32">
        <v>3.54</v>
      </c>
      <c r="T32">
        <v>3.07</v>
      </c>
      <c r="U32">
        <v>9</v>
      </c>
      <c r="V32" s="4">
        <v>160</v>
      </c>
      <c r="W32">
        <v>5500</v>
      </c>
      <c r="X32">
        <v>19</v>
      </c>
      <c r="Y32">
        <v>26</v>
      </c>
      <c r="Z32" s="4">
        <v>18620</v>
      </c>
    </row>
    <row r="33" spans="1:26" x14ac:dyDescent="0.35">
      <c r="A33">
        <v>-2</v>
      </c>
      <c r="B33" s="4">
        <v>103</v>
      </c>
      <c r="C33" s="6" t="s">
        <v>57</v>
      </c>
      <c r="D33" s="6" t="s">
        <v>1</v>
      </c>
      <c r="E33" t="s">
        <v>20</v>
      </c>
      <c r="F33" t="s">
        <v>8</v>
      </c>
      <c r="G33" t="s">
        <v>14</v>
      </c>
      <c r="H33" t="s">
        <v>5</v>
      </c>
      <c r="I33" t="s">
        <v>6</v>
      </c>
      <c r="J33" s="4">
        <v>104.3</v>
      </c>
      <c r="K33" s="4">
        <v>188.8</v>
      </c>
      <c r="L33" s="4">
        <v>67.2</v>
      </c>
      <c r="M33" s="4">
        <v>56.2</v>
      </c>
      <c r="N33" s="4">
        <v>3045</v>
      </c>
      <c r="O33" t="s">
        <v>16</v>
      </c>
      <c r="P33" t="s">
        <v>8</v>
      </c>
      <c r="Q33" s="4">
        <v>130</v>
      </c>
      <c r="R33" t="s">
        <v>9</v>
      </c>
      <c r="S33">
        <v>3.62</v>
      </c>
      <c r="T33">
        <v>3.15</v>
      </c>
      <c r="U33">
        <v>7.5</v>
      </c>
      <c r="V33" s="4">
        <v>162</v>
      </c>
      <c r="W33">
        <v>5100</v>
      </c>
      <c r="X33">
        <v>17</v>
      </c>
      <c r="Y33">
        <v>22</v>
      </c>
      <c r="Z33" s="4">
        <v>18420</v>
      </c>
    </row>
    <row r="34" spans="1:26" x14ac:dyDescent="0.35">
      <c r="A34">
        <v>1</v>
      </c>
      <c r="B34" s="4">
        <v>231</v>
      </c>
      <c r="C34" s="6" t="s">
        <v>45</v>
      </c>
      <c r="D34" s="6" t="s">
        <v>1</v>
      </c>
      <c r="E34" t="s">
        <v>2</v>
      </c>
      <c r="F34" t="s">
        <v>3</v>
      </c>
      <c r="G34" t="s">
        <v>10</v>
      </c>
      <c r="H34" t="s">
        <v>5</v>
      </c>
      <c r="I34" t="s">
        <v>6</v>
      </c>
      <c r="J34" s="4">
        <v>99.2</v>
      </c>
      <c r="K34" s="4">
        <v>178.5</v>
      </c>
      <c r="L34" s="4">
        <v>67.900000000000006</v>
      </c>
      <c r="M34" s="4">
        <v>49.7</v>
      </c>
      <c r="N34" s="4">
        <v>3139</v>
      </c>
      <c r="O34" t="s">
        <v>11</v>
      </c>
      <c r="P34" t="s">
        <v>12</v>
      </c>
      <c r="Q34" s="4">
        <v>181</v>
      </c>
      <c r="R34" t="s">
        <v>9</v>
      </c>
      <c r="S34">
        <v>3.43</v>
      </c>
      <c r="T34">
        <v>3.27</v>
      </c>
      <c r="U34">
        <v>9</v>
      </c>
      <c r="V34" s="4">
        <v>160</v>
      </c>
      <c r="W34">
        <v>5200</v>
      </c>
      <c r="X34">
        <v>19</v>
      </c>
      <c r="Y34">
        <v>25</v>
      </c>
      <c r="Z34" s="4">
        <v>18399</v>
      </c>
    </row>
    <row r="35" spans="1:26" hidden="1" x14ac:dyDescent="0.35">
      <c r="A35">
        <v>0</v>
      </c>
      <c r="C35" s="6" t="s">
        <v>34</v>
      </c>
      <c r="D35" s="6" t="s">
        <v>37</v>
      </c>
      <c r="E35" t="s">
        <v>2</v>
      </c>
      <c r="F35" t="s">
        <v>8</v>
      </c>
      <c r="G35" t="s">
        <v>14</v>
      </c>
      <c r="H35" t="s">
        <v>5</v>
      </c>
      <c r="I35" t="s">
        <v>6</v>
      </c>
      <c r="J35" s="4">
        <v>104.9</v>
      </c>
      <c r="K35" s="4">
        <v>175</v>
      </c>
      <c r="L35" s="4">
        <v>66.099999999999994</v>
      </c>
      <c r="M35" s="4">
        <v>54.4</v>
      </c>
      <c r="N35" s="4">
        <v>2700</v>
      </c>
      <c r="O35" t="s">
        <v>16</v>
      </c>
      <c r="P35" t="s">
        <v>8</v>
      </c>
      <c r="Q35" s="4">
        <v>134</v>
      </c>
      <c r="R35" t="s">
        <v>38</v>
      </c>
      <c r="S35">
        <v>3.43</v>
      </c>
      <c r="T35">
        <v>3.64</v>
      </c>
      <c r="U35">
        <v>22</v>
      </c>
      <c r="V35" s="4">
        <v>72</v>
      </c>
      <c r="W35">
        <v>4200</v>
      </c>
      <c r="X35">
        <v>31</v>
      </c>
      <c r="Y35">
        <v>39</v>
      </c>
      <c r="Z35" s="4">
        <v>18344</v>
      </c>
    </row>
    <row r="36" spans="1:26" x14ac:dyDescent="0.35">
      <c r="A36">
        <v>0</v>
      </c>
      <c r="B36" s="4">
        <v>118</v>
      </c>
      <c r="C36" s="6" t="s">
        <v>34</v>
      </c>
      <c r="D36" s="6" t="s">
        <v>1</v>
      </c>
      <c r="E36" t="s">
        <v>2</v>
      </c>
      <c r="F36" t="s">
        <v>8</v>
      </c>
      <c r="G36" t="s">
        <v>14</v>
      </c>
      <c r="H36" t="s">
        <v>5</v>
      </c>
      <c r="I36" t="s">
        <v>6</v>
      </c>
      <c r="J36" s="4">
        <v>104.9</v>
      </c>
      <c r="K36" s="4">
        <v>175</v>
      </c>
      <c r="L36" s="4">
        <v>66.099999999999994</v>
      </c>
      <c r="M36" s="4">
        <v>54.4</v>
      </c>
      <c r="N36" s="4">
        <v>2670</v>
      </c>
      <c r="O36" t="s">
        <v>16</v>
      </c>
      <c r="P36" t="s">
        <v>8</v>
      </c>
      <c r="Q36" s="4">
        <v>140</v>
      </c>
      <c r="R36" t="s">
        <v>9</v>
      </c>
      <c r="S36">
        <v>3.76</v>
      </c>
      <c r="T36">
        <v>3.16</v>
      </c>
      <c r="U36">
        <v>8</v>
      </c>
      <c r="V36" s="4">
        <v>120</v>
      </c>
      <c r="W36">
        <v>5000</v>
      </c>
      <c r="X36">
        <v>19</v>
      </c>
      <c r="Y36">
        <v>27</v>
      </c>
      <c r="Z36" s="4">
        <v>18280</v>
      </c>
    </row>
    <row r="37" spans="1:26" x14ac:dyDescent="0.35">
      <c r="A37">
        <v>0</v>
      </c>
      <c r="B37" s="4">
        <v>161</v>
      </c>
      <c r="C37" s="6" t="s">
        <v>46</v>
      </c>
      <c r="D37" s="6" t="s">
        <v>1</v>
      </c>
      <c r="E37" t="s">
        <v>20</v>
      </c>
      <c r="F37" t="s">
        <v>8</v>
      </c>
      <c r="G37" t="s">
        <v>14</v>
      </c>
      <c r="H37" t="s">
        <v>5</v>
      </c>
      <c r="I37" t="s">
        <v>6</v>
      </c>
      <c r="J37" s="4">
        <v>108</v>
      </c>
      <c r="K37" s="4">
        <v>186.7</v>
      </c>
      <c r="L37" s="4">
        <v>68.3</v>
      </c>
      <c r="M37" s="4">
        <v>56</v>
      </c>
      <c r="N37" s="4">
        <v>3130</v>
      </c>
      <c r="O37" t="s">
        <v>23</v>
      </c>
      <c r="P37" t="s">
        <v>8</v>
      </c>
      <c r="Q37" s="4">
        <v>134</v>
      </c>
      <c r="R37" t="s">
        <v>9</v>
      </c>
      <c r="S37">
        <v>3.61</v>
      </c>
      <c r="T37">
        <v>3.21</v>
      </c>
      <c r="U37">
        <v>7</v>
      </c>
      <c r="V37" s="4">
        <v>142</v>
      </c>
      <c r="W37">
        <v>5600</v>
      </c>
      <c r="X37">
        <v>18</v>
      </c>
      <c r="Y37">
        <v>24</v>
      </c>
      <c r="Z37" s="4">
        <v>18150</v>
      </c>
    </row>
    <row r="38" spans="1:26" x14ac:dyDescent="0.35">
      <c r="A38">
        <v>3</v>
      </c>
      <c r="B38" s="4">
        <v>150</v>
      </c>
      <c r="C38" s="6" t="s">
        <v>53</v>
      </c>
      <c r="D38" s="6" t="s">
        <v>1</v>
      </c>
      <c r="E38" t="s">
        <v>20</v>
      </c>
      <c r="F38" t="s">
        <v>3</v>
      </c>
      <c r="G38" t="s">
        <v>10</v>
      </c>
      <c r="H38" t="s">
        <v>15</v>
      </c>
      <c r="I38" t="s">
        <v>6</v>
      </c>
      <c r="J38" s="4">
        <v>99.1</v>
      </c>
      <c r="K38" s="4">
        <v>186.6</v>
      </c>
      <c r="L38" s="4">
        <v>66.5</v>
      </c>
      <c r="M38" s="4">
        <v>56.1</v>
      </c>
      <c r="N38" s="4">
        <v>2808</v>
      </c>
      <c r="O38" t="s">
        <v>7</v>
      </c>
      <c r="P38" t="s">
        <v>8</v>
      </c>
      <c r="Q38" s="4">
        <v>121</v>
      </c>
      <c r="R38" t="s">
        <v>9</v>
      </c>
      <c r="S38">
        <v>3.54</v>
      </c>
      <c r="T38">
        <v>3.07</v>
      </c>
      <c r="U38">
        <v>9</v>
      </c>
      <c r="V38" s="4">
        <v>160</v>
      </c>
      <c r="W38">
        <v>5500</v>
      </c>
      <c r="X38">
        <v>19</v>
      </c>
      <c r="Y38">
        <v>26</v>
      </c>
      <c r="Z38" s="4">
        <v>18150</v>
      </c>
    </row>
    <row r="39" spans="1:26" x14ac:dyDescent="0.35">
      <c r="A39">
        <v>0</v>
      </c>
      <c r="B39" s="4">
        <v>161</v>
      </c>
      <c r="C39" s="6" t="s">
        <v>46</v>
      </c>
      <c r="D39" s="6" t="s">
        <v>37</v>
      </c>
      <c r="E39" t="s">
        <v>20</v>
      </c>
      <c r="F39" t="s">
        <v>8</v>
      </c>
      <c r="G39" t="s">
        <v>14</v>
      </c>
      <c r="H39" t="s">
        <v>5</v>
      </c>
      <c r="I39" t="s">
        <v>6</v>
      </c>
      <c r="J39" s="4">
        <v>107.9</v>
      </c>
      <c r="K39" s="4">
        <v>186.7</v>
      </c>
      <c r="L39" s="4">
        <v>68.400000000000006</v>
      </c>
      <c r="M39" s="4">
        <v>56.7</v>
      </c>
      <c r="N39" s="4">
        <v>3252</v>
      </c>
      <c r="O39" t="s">
        <v>23</v>
      </c>
      <c r="P39" t="s">
        <v>8</v>
      </c>
      <c r="Q39" s="4">
        <v>152</v>
      </c>
      <c r="R39" t="s">
        <v>38</v>
      </c>
      <c r="S39">
        <v>3.7</v>
      </c>
      <c r="T39">
        <v>3.52</v>
      </c>
      <c r="U39">
        <v>21</v>
      </c>
      <c r="V39" s="4">
        <v>95</v>
      </c>
      <c r="W39">
        <v>4150</v>
      </c>
      <c r="X39">
        <v>28</v>
      </c>
      <c r="Y39">
        <v>33</v>
      </c>
      <c r="Z39" s="4">
        <v>17950</v>
      </c>
    </row>
    <row r="40" spans="1:26" x14ac:dyDescent="0.35">
      <c r="A40">
        <v>1</v>
      </c>
      <c r="B40" s="4">
        <v>158</v>
      </c>
      <c r="C40" s="6" t="s">
        <v>13</v>
      </c>
      <c r="D40" s="6" t="s">
        <v>1</v>
      </c>
      <c r="E40" t="s">
        <v>2</v>
      </c>
      <c r="F40" t="s">
        <v>8</v>
      </c>
      <c r="G40" t="s">
        <v>14</v>
      </c>
      <c r="H40" t="s">
        <v>15</v>
      </c>
      <c r="I40" t="s">
        <v>6</v>
      </c>
      <c r="J40" s="4">
        <v>105.8</v>
      </c>
      <c r="K40" s="4">
        <v>192.7</v>
      </c>
      <c r="L40" s="4">
        <v>71.400000000000006</v>
      </c>
      <c r="M40" s="4">
        <v>55.7</v>
      </c>
      <c r="N40" s="4">
        <v>2844</v>
      </c>
      <c r="O40" t="s">
        <v>16</v>
      </c>
      <c r="P40" t="s">
        <v>18</v>
      </c>
      <c r="Q40" s="4">
        <v>136</v>
      </c>
      <c r="R40" t="s">
        <v>9</v>
      </c>
      <c r="S40">
        <v>3.19</v>
      </c>
      <c r="T40">
        <v>3.4</v>
      </c>
      <c r="U40">
        <v>8.5</v>
      </c>
      <c r="V40" s="4">
        <v>110</v>
      </c>
      <c r="W40">
        <v>5500</v>
      </c>
      <c r="X40">
        <v>19</v>
      </c>
      <c r="Y40">
        <v>25</v>
      </c>
      <c r="Z40" s="4">
        <v>17710</v>
      </c>
    </row>
    <row r="41" spans="1:26" x14ac:dyDescent="0.35">
      <c r="A41">
        <v>2</v>
      </c>
      <c r="B41" s="4">
        <v>134</v>
      </c>
      <c r="C41" s="6" t="s">
        <v>55</v>
      </c>
      <c r="D41" s="6" t="s">
        <v>1</v>
      </c>
      <c r="E41" t="s">
        <v>2</v>
      </c>
      <c r="F41" t="s">
        <v>3</v>
      </c>
      <c r="G41" t="s">
        <v>4</v>
      </c>
      <c r="H41" t="s">
        <v>5</v>
      </c>
      <c r="I41" t="s">
        <v>6</v>
      </c>
      <c r="J41" s="4">
        <v>98.4</v>
      </c>
      <c r="K41" s="4">
        <v>176.2</v>
      </c>
      <c r="L41" s="4">
        <v>65.599999999999994</v>
      </c>
      <c r="M41" s="4">
        <v>53</v>
      </c>
      <c r="N41" s="4">
        <v>2975</v>
      </c>
      <c r="O41" t="s">
        <v>16</v>
      </c>
      <c r="P41" t="s">
        <v>8</v>
      </c>
      <c r="Q41" s="4">
        <v>146</v>
      </c>
      <c r="R41" t="s">
        <v>9</v>
      </c>
      <c r="S41">
        <v>3.62</v>
      </c>
      <c r="T41">
        <v>3.5</v>
      </c>
      <c r="U41">
        <v>9.3000000000000007</v>
      </c>
      <c r="V41" s="4">
        <v>116</v>
      </c>
      <c r="W41">
        <v>4800</v>
      </c>
      <c r="X41">
        <v>24</v>
      </c>
      <c r="Y41">
        <v>30</v>
      </c>
      <c r="Z41" s="4">
        <v>17669</v>
      </c>
    </row>
    <row r="42" spans="1:26" x14ac:dyDescent="0.35">
      <c r="A42">
        <v>2</v>
      </c>
      <c r="B42" s="4">
        <v>164</v>
      </c>
      <c r="C42" s="6" t="s">
        <v>13</v>
      </c>
      <c r="D42" s="6" t="s">
        <v>1</v>
      </c>
      <c r="E42" t="s">
        <v>2</v>
      </c>
      <c r="F42" t="s">
        <v>8</v>
      </c>
      <c r="G42" t="s">
        <v>14</v>
      </c>
      <c r="H42" t="s">
        <v>17</v>
      </c>
      <c r="I42" t="s">
        <v>6</v>
      </c>
      <c r="J42" s="4">
        <v>99.4</v>
      </c>
      <c r="K42" s="4">
        <v>176.6</v>
      </c>
      <c r="L42" s="4">
        <v>66.400000000000006</v>
      </c>
      <c r="M42" s="4">
        <v>54.3</v>
      </c>
      <c r="N42" s="4">
        <v>2824</v>
      </c>
      <c r="O42" t="s">
        <v>16</v>
      </c>
      <c r="P42" t="s">
        <v>18</v>
      </c>
      <c r="Q42" s="4">
        <v>136</v>
      </c>
      <c r="R42" t="s">
        <v>9</v>
      </c>
      <c r="S42">
        <v>3.19</v>
      </c>
      <c r="T42">
        <v>3.4</v>
      </c>
      <c r="U42">
        <v>8</v>
      </c>
      <c r="V42" s="4">
        <v>115</v>
      </c>
      <c r="W42">
        <v>5500</v>
      </c>
      <c r="X42">
        <v>18</v>
      </c>
      <c r="Y42">
        <v>22</v>
      </c>
      <c r="Z42" s="4">
        <v>17450</v>
      </c>
    </row>
    <row r="43" spans="1:26" x14ac:dyDescent="0.35">
      <c r="A43">
        <v>3</v>
      </c>
      <c r="B43" s="4">
        <v>194</v>
      </c>
      <c r="C43" s="6" t="s">
        <v>45</v>
      </c>
      <c r="D43" s="6" t="s">
        <v>1</v>
      </c>
      <c r="E43" t="s">
        <v>2</v>
      </c>
      <c r="F43" t="s">
        <v>3</v>
      </c>
      <c r="G43" t="s">
        <v>10</v>
      </c>
      <c r="H43" t="s">
        <v>5</v>
      </c>
      <c r="I43" t="s">
        <v>6</v>
      </c>
      <c r="J43" s="4">
        <v>91.3</v>
      </c>
      <c r="K43" s="4">
        <v>170.7</v>
      </c>
      <c r="L43" s="4">
        <v>67.900000000000006</v>
      </c>
      <c r="M43" s="4">
        <v>49.7</v>
      </c>
      <c r="N43" s="4">
        <v>3071</v>
      </c>
      <c r="O43" t="s">
        <v>11</v>
      </c>
      <c r="P43" t="s">
        <v>12</v>
      </c>
      <c r="Q43" s="4">
        <v>181</v>
      </c>
      <c r="R43" t="s">
        <v>9</v>
      </c>
      <c r="S43">
        <v>3.43</v>
      </c>
      <c r="T43">
        <v>3.27</v>
      </c>
      <c r="U43">
        <v>9</v>
      </c>
      <c r="V43" s="4">
        <v>160</v>
      </c>
      <c r="W43">
        <v>5200</v>
      </c>
      <c r="X43">
        <v>19</v>
      </c>
      <c r="Y43">
        <v>25</v>
      </c>
      <c r="Z43" s="4">
        <v>17199</v>
      </c>
    </row>
    <row r="44" spans="1:26" hidden="1" x14ac:dyDescent="0.35">
      <c r="A44">
        <v>0</v>
      </c>
      <c r="C44" s="6" t="s">
        <v>46</v>
      </c>
      <c r="D44" s="6" t="s">
        <v>37</v>
      </c>
      <c r="E44" t="s">
        <v>20</v>
      </c>
      <c r="F44" t="s">
        <v>8</v>
      </c>
      <c r="G44" t="s">
        <v>19</v>
      </c>
      <c r="H44" t="s">
        <v>5</v>
      </c>
      <c r="I44" t="s">
        <v>6</v>
      </c>
      <c r="J44" s="4">
        <v>114.2</v>
      </c>
      <c r="K44" s="4">
        <v>198.9</v>
      </c>
      <c r="L44" s="4">
        <v>68.400000000000006</v>
      </c>
      <c r="M44" s="4">
        <v>58.7</v>
      </c>
      <c r="N44" s="4">
        <v>3485</v>
      </c>
      <c r="O44" t="s">
        <v>23</v>
      </c>
      <c r="P44" t="s">
        <v>8</v>
      </c>
      <c r="Q44" s="4">
        <v>152</v>
      </c>
      <c r="R44" t="s">
        <v>38</v>
      </c>
      <c r="S44">
        <v>3.7</v>
      </c>
      <c r="T44">
        <v>3.52</v>
      </c>
      <c r="U44">
        <v>21</v>
      </c>
      <c r="V44" s="4">
        <v>95</v>
      </c>
      <c r="W44">
        <v>4150</v>
      </c>
      <c r="X44">
        <v>25</v>
      </c>
      <c r="Y44">
        <v>25</v>
      </c>
      <c r="Z44" s="4">
        <v>17075</v>
      </c>
    </row>
    <row r="45" spans="1:26" x14ac:dyDescent="0.35">
      <c r="A45">
        <v>0</v>
      </c>
      <c r="B45" s="4">
        <v>192</v>
      </c>
      <c r="C45" s="6" t="s">
        <v>21</v>
      </c>
      <c r="D45" s="6" t="s">
        <v>1</v>
      </c>
      <c r="E45" t="s">
        <v>2</v>
      </c>
      <c r="F45" t="s">
        <v>8</v>
      </c>
      <c r="G45" t="s">
        <v>14</v>
      </c>
      <c r="H45" t="s">
        <v>5</v>
      </c>
      <c r="I45" t="s">
        <v>6</v>
      </c>
      <c r="J45" s="4">
        <v>101.2</v>
      </c>
      <c r="K45" s="4">
        <v>176.8</v>
      </c>
      <c r="L45" s="4">
        <v>64.8</v>
      </c>
      <c r="M45" s="4">
        <v>54.3</v>
      </c>
      <c r="N45" s="4">
        <v>2395</v>
      </c>
      <c r="O45" t="s">
        <v>16</v>
      </c>
      <c r="P45" t="s">
        <v>8</v>
      </c>
      <c r="Q45" s="4">
        <v>108</v>
      </c>
      <c r="R45" t="s">
        <v>9</v>
      </c>
      <c r="S45">
        <v>3.5</v>
      </c>
      <c r="T45">
        <v>2.8</v>
      </c>
      <c r="U45">
        <v>8.8000000000000007</v>
      </c>
      <c r="V45" s="4">
        <v>101</v>
      </c>
      <c r="W45">
        <v>5800</v>
      </c>
      <c r="X45">
        <v>23</v>
      </c>
      <c r="Y45">
        <v>29</v>
      </c>
      <c r="Z45" s="4">
        <v>16925</v>
      </c>
    </row>
    <row r="46" spans="1:26" hidden="1" x14ac:dyDescent="0.35">
      <c r="A46">
        <v>1</v>
      </c>
      <c r="C46" s="6" t="s">
        <v>30</v>
      </c>
      <c r="D46" s="6" t="s">
        <v>1</v>
      </c>
      <c r="E46" t="s">
        <v>2</v>
      </c>
      <c r="F46" t="s">
        <v>3</v>
      </c>
      <c r="G46" t="s">
        <v>14</v>
      </c>
      <c r="H46" t="s">
        <v>15</v>
      </c>
      <c r="I46" t="s">
        <v>6</v>
      </c>
      <c r="J46" s="4">
        <v>94.5</v>
      </c>
      <c r="K46" s="4">
        <v>155.9</v>
      </c>
      <c r="L46" s="4">
        <v>63.6</v>
      </c>
      <c r="M46" s="4">
        <v>52</v>
      </c>
      <c r="N46" s="4">
        <v>1874</v>
      </c>
      <c r="O46" t="s">
        <v>16</v>
      </c>
      <c r="P46" t="s">
        <v>8</v>
      </c>
      <c r="Q46" s="4">
        <v>90</v>
      </c>
      <c r="R46" t="s">
        <v>25</v>
      </c>
      <c r="S46">
        <v>3.03</v>
      </c>
      <c r="T46">
        <v>3.11</v>
      </c>
      <c r="U46">
        <v>9.6</v>
      </c>
      <c r="V46" s="4">
        <v>70</v>
      </c>
      <c r="W46">
        <v>5400</v>
      </c>
      <c r="X46">
        <v>38</v>
      </c>
      <c r="Y46">
        <v>43</v>
      </c>
    </row>
    <row r="47" spans="1:26" hidden="1" x14ac:dyDescent="0.35">
      <c r="A47">
        <v>0</v>
      </c>
      <c r="C47" s="6" t="s">
        <v>30</v>
      </c>
      <c r="D47" s="6" t="s">
        <v>1</v>
      </c>
      <c r="E47" t="s">
        <v>2</v>
      </c>
      <c r="F47" t="s">
        <v>8</v>
      </c>
      <c r="G47" t="s">
        <v>14</v>
      </c>
      <c r="H47" t="s">
        <v>15</v>
      </c>
      <c r="I47" t="s">
        <v>6</v>
      </c>
      <c r="J47" s="4">
        <v>94.5</v>
      </c>
      <c r="K47" s="4">
        <v>155.9</v>
      </c>
      <c r="L47" s="4">
        <v>63.6</v>
      </c>
      <c r="M47" s="4">
        <v>52</v>
      </c>
      <c r="N47" s="4">
        <v>1909</v>
      </c>
      <c r="O47" t="s">
        <v>16</v>
      </c>
      <c r="P47" t="s">
        <v>8</v>
      </c>
      <c r="Q47" s="4">
        <v>90</v>
      </c>
      <c r="R47" t="s">
        <v>25</v>
      </c>
      <c r="S47">
        <v>3.03</v>
      </c>
      <c r="T47">
        <v>3.11</v>
      </c>
      <c r="U47">
        <v>9.6</v>
      </c>
      <c r="V47" s="4">
        <v>70</v>
      </c>
      <c r="W47">
        <v>5400</v>
      </c>
      <c r="X47">
        <v>38</v>
      </c>
      <c r="Y47">
        <v>43</v>
      </c>
    </row>
    <row r="48" spans="1:26" x14ac:dyDescent="0.35">
      <c r="A48">
        <v>0</v>
      </c>
      <c r="B48" s="4">
        <v>161</v>
      </c>
      <c r="C48" s="6" t="s">
        <v>46</v>
      </c>
      <c r="D48" s="6" t="s">
        <v>37</v>
      </c>
      <c r="E48" t="s">
        <v>20</v>
      </c>
      <c r="F48" t="s">
        <v>8</v>
      </c>
      <c r="G48" t="s">
        <v>14</v>
      </c>
      <c r="H48" t="s">
        <v>5</v>
      </c>
      <c r="I48" t="s">
        <v>6</v>
      </c>
      <c r="J48" s="4">
        <v>107.9</v>
      </c>
      <c r="K48" s="4">
        <v>186.7</v>
      </c>
      <c r="L48" s="4">
        <v>68.400000000000006</v>
      </c>
      <c r="M48" s="4">
        <v>56.7</v>
      </c>
      <c r="N48" s="4">
        <v>3252</v>
      </c>
      <c r="O48" t="s">
        <v>23</v>
      </c>
      <c r="P48" t="s">
        <v>8</v>
      </c>
      <c r="Q48" s="4">
        <v>152</v>
      </c>
      <c r="R48" t="s">
        <v>38</v>
      </c>
      <c r="S48">
        <v>3.7</v>
      </c>
      <c r="T48">
        <v>3.52</v>
      </c>
      <c r="U48">
        <v>21</v>
      </c>
      <c r="V48" s="4">
        <v>95</v>
      </c>
      <c r="W48">
        <v>4150</v>
      </c>
      <c r="X48">
        <v>28</v>
      </c>
      <c r="Y48">
        <v>33</v>
      </c>
      <c r="Z48" s="4">
        <v>16900</v>
      </c>
    </row>
    <row r="49" spans="1:26" x14ac:dyDescent="0.35">
      <c r="A49">
        <v>-1</v>
      </c>
      <c r="B49" s="4">
        <v>95</v>
      </c>
      <c r="C49" s="6" t="s">
        <v>57</v>
      </c>
      <c r="D49" s="6" t="s">
        <v>1</v>
      </c>
      <c r="E49" t="s">
        <v>2</v>
      </c>
      <c r="F49" t="s">
        <v>8</v>
      </c>
      <c r="G49" t="s">
        <v>14</v>
      </c>
      <c r="H49" t="s">
        <v>5</v>
      </c>
      <c r="I49" t="s">
        <v>6</v>
      </c>
      <c r="J49" s="4">
        <v>109.1</v>
      </c>
      <c r="K49" s="4">
        <v>188.8</v>
      </c>
      <c r="L49" s="4">
        <v>68.900000000000006</v>
      </c>
      <c r="M49" s="4">
        <v>55.5</v>
      </c>
      <c r="N49" s="4">
        <v>2952</v>
      </c>
      <c r="O49" t="s">
        <v>16</v>
      </c>
      <c r="P49" t="s">
        <v>8</v>
      </c>
      <c r="Q49" s="4">
        <v>141</v>
      </c>
      <c r="R49" t="s">
        <v>9</v>
      </c>
      <c r="S49">
        <v>3.78</v>
      </c>
      <c r="T49">
        <v>3.15</v>
      </c>
      <c r="U49">
        <v>9.5</v>
      </c>
      <c r="V49" s="4">
        <v>114</v>
      </c>
      <c r="W49">
        <v>5400</v>
      </c>
      <c r="X49">
        <v>23</v>
      </c>
      <c r="Y49">
        <v>28</v>
      </c>
      <c r="Z49" s="4">
        <v>16845</v>
      </c>
    </row>
    <row r="50" spans="1:26" hidden="1" x14ac:dyDescent="0.35">
      <c r="A50">
        <v>0</v>
      </c>
      <c r="C50" s="6" t="s">
        <v>46</v>
      </c>
      <c r="D50" s="6" t="s">
        <v>1</v>
      </c>
      <c r="E50" t="s">
        <v>2</v>
      </c>
      <c r="F50" t="s">
        <v>8</v>
      </c>
      <c r="G50" t="s">
        <v>19</v>
      </c>
      <c r="H50" t="s">
        <v>5</v>
      </c>
      <c r="I50" t="s">
        <v>6</v>
      </c>
      <c r="J50" s="4">
        <v>114.2</v>
      </c>
      <c r="K50" s="4">
        <v>198.9</v>
      </c>
      <c r="L50" s="4">
        <v>68.400000000000006</v>
      </c>
      <c r="M50" s="4">
        <v>56.7</v>
      </c>
      <c r="N50" s="4">
        <v>3285</v>
      </c>
      <c r="O50" t="s">
        <v>23</v>
      </c>
      <c r="P50" t="s">
        <v>8</v>
      </c>
      <c r="Q50" s="4">
        <v>120</v>
      </c>
      <c r="R50" t="s">
        <v>9</v>
      </c>
      <c r="S50">
        <v>3.46</v>
      </c>
      <c r="T50">
        <v>2.19</v>
      </c>
      <c r="U50">
        <v>8.4</v>
      </c>
      <c r="V50" s="4">
        <v>95</v>
      </c>
      <c r="W50">
        <v>5000</v>
      </c>
      <c r="X50">
        <v>19</v>
      </c>
      <c r="Y50">
        <v>24</v>
      </c>
      <c r="Z50" s="4">
        <v>16695</v>
      </c>
    </row>
    <row r="51" spans="1:26" x14ac:dyDescent="0.35">
      <c r="A51">
        <v>0</v>
      </c>
      <c r="B51" s="4">
        <v>161</v>
      </c>
      <c r="C51" s="6" t="s">
        <v>46</v>
      </c>
      <c r="D51" s="6" t="s">
        <v>1</v>
      </c>
      <c r="E51" t="s">
        <v>2</v>
      </c>
      <c r="F51" t="s">
        <v>8</v>
      </c>
      <c r="G51" t="s">
        <v>14</v>
      </c>
      <c r="H51" t="s">
        <v>5</v>
      </c>
      <c r="I51" t="s">
        <v>6</v>
      </c>
      <c r="J51" s="4">
        <v>107.9</v>
      </c>
      <c r="K51" s="4">
        <v>186.7</v>
      </c>
      <c r="L51" s="4">
        <v>68.400000000000006</v>
      </c>
      <c r="M51" s="4">
        <v>56.7</v>
      </c>
      <c r="N51" s="4">
        <v>3075</v>
      </c>
      <c r="O51" t="s">
        <v>23</v>
      </c>
      <c r="P51" t="s">
        <v>8</v>
      </c>
      <c r="Q51" s="4">
        <v>120</v>
      </c>
      <c r="R51" t="s">
        <v>9</v>
      </c>
      <c r="S51">
        <v>3.46</v>
      </c>
      <c r="T51">
        <v>3.19</v>
      </c>
      <c r="U51">
        <v>8.4</v>
      </c>
      <c r="V51" s="4">
        <v>97</v>
      </c>
      <c r="W51">
        <v>5000</v>
      </c>
      <c r="X51">
        <v>19</v>
      </c>
      <c r="Y51">
        <v>24</v>
      </c>
      <c r="Z51" s="4">
        <v>16630</v>
      </c>
    </row>
    <row r="52" spans="1:26" x14ac:dyDescent="0.35">
      <c r="A52">
        <v>3</v>
      </c>
      <c r="B52" s="4">
        <v>197</v>
      </c>
      <c r="C52" s="6" t="s">
        <v>55</v>
      </c>
      <c r="D52" s="6" t="s">
        <v>1</v>
      </c>
      <c r="E52" t="s">
        <v>2</v>
      </c>
      <c r="F52" t="s">
        <v>3</v>
      </c>
      <c r="G52" t="s">
        <v>10</v>
      </c>
      <c r="H52" t="s">
        <v>5</v>
      </c>
      <c r="I52" t="s">
        <v>6</v>
      </c>
      <c r="J52" s="4">
        <v>102.9</v>
      </c>
      <c r="K52" s="4">
        <v>183.5</v>
      </c>
      <c r="L52" s="4">
        <v>67.7</v>
      </c>
      <c r="M52" s="4">
        <v>52</v>
      </c>
      <c r="N52" s="4">
        <v>2976</v>
      </c>
      <c r="O52" t="s">
        <v>7</v>
      </c>
      <c r="P52" t="s">
        <v>12</v>
      </c>
      <c r="Q52" s="4">
        <v>171</v>
      </c>
      <c r="R52" t="s">
        <v>9</v>
      </c>
      <c r="S52">
        <v>3.27</v>
      </c>
      <c r="T52">
        <v>3.35</v>
      </c>
      <c r="U52">
        <v>9.3000000000000007</v>
      </c>
      <c r="V52" s="4">
        <v>161</v>
      </c>
      <c r="W52">
        <v>5200</v>
      </c>
      <c r="X52">
        <v>20</v>
      </c>
      <c r="Y52">
        <v>24</v>
      </c>
      <c r="Z52" s="4">
        <v>16558</v>
      </c>
    </row>
    <row r="53" spans="1:26" x14ac:dyDescent="0.35">
      <c r="A53">
        <v>-1</v>
      </c>
      <c r="B53" s="4">
        <v>74</v>
      </c>
      <c r="C53" s="6" t="s">
        <v>57</v>
      </c>
      <c r="D53" s="6" t="s">
        <v>1</v>
      </c>
      <c r="E53" t="s">
        <v>2</v>
      </c>
      <c r="F53" t="s">
        <v>8</v>
      </c>
      <c r="G53" t="s">
        <v>19</v>
      </c>
      <c r="H53" t="s">
        <v>5</v>
      </c>
      <c r="I53" t="s">
        <v>6</v>
      </c>
      <c r="J53" s="4">
        <v>104.3</v>
      </c>
      <c r="K53" s="4">
        <v>188.8</v>
      </c>
      <c r="L53" s="4">
        <v>67.2</v>
      </c>
      <c r="M53" s="4">
        <v>57.5</v>
      </c>
      <c r="N53" s="4">
        <v>3042</v>
      </c>
      <c r="O53" t="s">
        <v>16</v>
      </c>
      <c r="P53" t="s">
        <v>8</v>
      </c>
      <c r="Q53" s="4">
        <v>141</v>
      </c>
      <c r="R53" t="s">
        <v>9</v>
      </c>
      <c r="S53">
        <v>3.78</v>
      </c>
      <c r="T53">
        <v>3.15</v>
      </c>
      <c r="U53">
        <v>9.5</v>
      </c>
      <c r="V53" s="4">
        <v>114</v>
      </c>
      <c r="W53">
        <v>5400</v>
      </c>
      <c r="X53">
        <v>24</v>
      </c>
      <c r="Y53">
        <v>28</v>
      </c>
      <c r="Z53" s="4">
        <v>16515</v>
      </c>
    </row>
    <row r="54" spans="1:26" hidden="1" x14ac:dyDescent="0.35">
      <c r="A54">
        <v>1</v>
      </c>
      <c r="C54" s="6" t="s">
        <v>42</v>
      </c>
      <c r="D54" s="6" t="s">
        <v>1</v>
      </c>
      <c r="E54" t="s">
        <v>20</v>
      </c>
      <c r="F54" t="s">
        <v>3</v>
      </c>
      <c r="G54" t="s">
        <v>10</v>
      </c>
      <c r="H54" t="s">
        <v>5</v>
      </c>
      <c r="I54" t="s">
        <v>6</v>
      </c>
      <c r="J54" s="4">
        <v>102.7</v>
      </c>
      <c r="K54" s="4">
        <v>178.4</v>
      </c>
      <c r="L54" s="4">
        <v>68</v>
      </c>
      <c r="M54" s="4">
        <v>54.8</v>
      </c>
      <c r="N54" s="4">
        <v>2910</v>
      </c>
      <c r="O54" t="s">
        <v>16</v>
      </c>
      <c r="P54" t="s">
        <v>8</v>
      </c>
      <c r="Q54" s="4">
        <v>140</v>
      </c>
      <c r="R54" t="s">
        <v>9</v>
      </c>
      <c r="S54">
        <v>3.78</v>
      </c>
      <c r="T54">
        <v>3.12</v>
      </c>
      <c r="U54">
        <v>8</v>
      </c>
      <c r="V54" s="4">
        <v>175</v>
      </c>
      <c r="W54">
        <v>5000</v>
      </c>
      <c r="X54">
        <v>19</v>
      </c>
      <c r="Y54">
        <v>24</v>
      </c>
      <c r="Z54" s="4">
        <v>16503</v>
      </c>
    </row>
    <row r="55" spans="1:26" hidden="1" x14ac:dyDescent="0.35">
      <c r="A55">
        <v>3</v>
      </c>
      <c r="C55" s="6" t="s">
        <v>0</v>
      </c>
      <c r="D55" s="6" t="s">
        <v>1</v>
      </c>
      <c r="E55" t="s">
        <v>2</v>
      </c>
      <c r="F55" t="s">
        <v>3</v>
      </c>
      <c r="G55" t="s">
        <v>4</v>
      </c>
      <c r="H55" t="s">
        <v>5</v>
      </c>
      <c r="I55" t="s">
        <v>6</v>
      </c>
      <c r="J55" s="4">
        <v>88.6</v>
      </c>
      <c r="K55" s="4">
        <v>168.8</v>
      </c>
      <c r="L55" s="4">
        <v>64.099999999999994</v>
      </c>
      <c r="M55" s="4">
        <v>48.8</v>
      </c>
      <c r="N55" s="4">
        <v>2548</v>
      </c>
      <c r="O55" t="s">
        <v>7</v>
      </c>
      <c r="P55" t="s">
        <v>8</v>
      </c>
      <c r="Q55" s="4">
        <v>130</v>
      </c>
      <c r="R55" t="s">
        <v>9</v>
      </c>
      <c r="S55">
        <v>3.47</v>
      </c>
      <c r="T55">
        <v>2.68</v>
      </c>
      <c r="U55">
        <v>9</v>
      </c>
      <c r="V55" s="4">
        <v>111</v>
      </c>
      <c r="W55">
        <v>5000</v>
      </c>
      <c r="X55">
        <v>21</v>
      </c>
      <c r="Y55">
        <v>27</v>
      </c>
      <c r="Z55" s="4">
        <v>16500</v>
      </c>
    </row>
    <row r="56" spans="1:26" hidden="1" x14ac:dyDescent="0.35">
      <c r="A56">
        <v>1</v>
      </c>
      <c r="C56" s="6" t="s">
        <v>0</v>
      </c>
      <c r="D56" s="6" t="s">
        <v>1</v>
      </c>
      <c r="E56" t="s">
        <v>2</v>
      </c>
      <c r="F56" t="s">
        <v>3</v>
      </c>
      <c r="G56" t="s">
        <v>10</v>
      </c>
      <c r="H56" t="s">
        <v>5</v>
      </c>
      <c r="I56" t="s">
        <v>6</v>
      </c>
      <c r="J56" s="4">
        <v>94.5</v>
      </c>
      <c r="K56" s="4">
        <v>171.2</v>
      </c>
      <c r="L56" s="4">
        <v>65.5</v>
      </c>
      <c r="M56" s="4">
        <v>52.4</v>
      </c>
      <c r="N56" s="4">
        <v>2823</v>
      </c>
      <c r="O56" t="s">
        <v>11</v>
      </c>
      <c r="P56" t="s">
        <v>12</v>
      </c>
      <c r="Q56" s="4">
        <v>152</v>
      </c>
      <c r="R56" t="s">
        <v>9</v>
      </c>
      <c r="S56">
        <v>2.68</v>
      </c>
      <c r="T56">
        <v>3.47</v>
      </c>
      <c r="U56">
        <v>9</v>
      </c>
      <c r="V56" s="4">
        <v>154</v>
      </c>
      <c r="W56">
        <v>5000</v>
      </c>
      <c r="X56">
        <v>19</v>
      </c>
      <c r="Y56">
        <v>26</v>
      </c>
      <c r="Z56" s="4">
        <v>16500</v>
      </c>
    </row>
    <row r="57" spans="1:26" x14ac:dyDescent="0.35">
      <c r="A57">
        <v>2</v>
      </c>
      <c r="B57" s="4">
        <v>192</v>
      </c>
      <c r="C57" s="6" t="s">
        <v>21</v>
      </c>
      <c r="D57" s="6" t="s">
        <v>1</v>
      </c>
      <c r="E57" t="s">
        <v>2</v>
      </c>
      <c r="F57" t="s">
        <v>3</v>
      </c>
      <c r="G57" t="s">
        <v>14</v>
      </c>
      <c r="H57" t="s">
        <v>5</v>
      </c>
      <c r="I57" t="s">
        <v>6</v>
      </c>
      <c r="J57" s="4">
        <v>101.2</v>
      </c>
      <c r="K57" s="4">
        <v>176.8</v>
      </c>
      <c r="L57" s="4">
        <v>64.8</v>
      </c>
      <c r="M57" s="4">
        <v>54.3</v>
      </c>
      <c r="N57" s="4">
        <v>2395</v>
      </c>
      <c r="O57" t="s">
        <v>16</v>
      </c>
      <c r="P57" t="s">
        <v>8</v>
      </c>
      <c r="Q57" s="4">
        <v>108</v>
      </c>
      <c r="R57" t="s">
        <v>9</v>
      </c>
      <c r="S57">
        <v>3.5</v>
      </c>
      <c r="T57">
        <v>2.8</v>
      </c>
      <c r="U57">
        <v>8.8000000000000007</v>
      </c>
      <c r="V57" s="4">
        <v>101</v>
      </c>
      <c r="W57">
        <v>5800</v>
      </c>
      <c r="X57">
        <v>23</v>
      </c>
      <c r="Y57">
        <v>29</v>
      </c>
      <c r="Z57" s="4">
        <v>16430</v>
      </c>
    </row>
    <row r="58" spans="1:26" x14ac:dyDescent="0.35">
      <c r="A58">
        <v>3</v>
      </c>
      <c r="B58" s="4">
        <v>197</v>
      </c>
      <c r="C58" s="6" t="s">
        <v>55</v>
      </c>
      <c r="D58" s="6" t="s">
        <v>1</v>
      </c>
      <c r="E58" t="s">
        <v>2</v>
      </c>
      <c r="F58" t="s">
        <v>3</v>
      </c>
      <c r="G58" t="s">
        <v>10</v>
      </c>
      <c r="H58" t="s">
        <v>5</v>
      </c>
      <c r="I58" t="s">
        <v>6</v>
      </c>
      <c r="J58" s="4">
        <v>102.9</v>
      </c>
      <c r="K58" s="4">
        <v>183.5</v>
      </c>
      <c r="L58" s="4">
        <v>67.7</v>
      </c>
      <c r="M58" s="4">
        <v>52</v>
      </c>
      <c r="N58" s="4">
        <v>3016</v>
      </c>
      <c r="O58" t="s">
        <v>7</v>
      </c>
      <c r="P58" t="s">
        <v>12</v>
      </c>
      <c r="Q58" s="4">
        <v>171</v>
      </c>
      <c r="R58" t="s">
        <v>9</v>
      </c>
      <c r="S58">
        <v>3.27</v>
      </c>
      <c r="T58">
        <v>3.35</v>
      </c>
      <c r="U58">
        <v>9.3000000000000007</v>
      </c>
      <c r="V58" s="4">
        <v>161</v>
      </c>
      <c r="W58">
        <v>5200</v>
      </c>
      <c r="X58">
        <v>19</v>
      </c>
      <c r="Y58">
        <v>24</v>
      </c>
      <c r="Z58" s="4">
        <v>15998</v>
      </c>
    </row>
    <row r="59" spans="1:26" x14ac:dyDescent="0.35">
      <c r="A59">
        <v>-2</v>
      </c>
      <c r="B59" s="4">
        <v>103</v>
      </c>
      <c r="C59" s="6" t="s">
        <v>57</v>
      </c>
      <c r="D59" s="6" t="s">
        <v>1</v>
      </c>
      <c r="E59" t="s">
        <v>2</v>
      </c>
      <c r="F59" t="s">
        <v>8</v>
      </c>
      <c r="G59" t="s">
        <v>14</v>
      </c>
      <c r="H59" t="s">
        <v>5</v>
      </c>
      <c r="I59" t="s">
        <v>6</v>
      </c>
      <c r="J59" s="4">
        <v>104.3</v>
      </c>
      <c r="K59" s="4">
        <v>188.8</v>
      </c>
      <c r="L59" s="4">
        <v>67.2</v>
      </c>
      <c r="M59" s="4">
        <v>56.2</v>
      </c>
      <c r="N59" s="4">
        <v>2935</v>
      </c>
      <c r="O59" t="s">
        <v>16</v>
      </c>
      <c r="P59" t="s">
        <v>8</v>
      </c>
      <c r="Q59" s="4">
        <v>141</v>
      </c>
      <c r="R59" t="s">
        <v>9</v>
      </c>
      <c r="S59">
        <v>3.78</v>
      </c>
      <c r="T59">
        <v>3.15</v>
      </c>
      <c r="U59">
        <v>9.5</v>
      </c>
      <c r="V59" s="4">
        <v>114</v>
      </c>
      <c r="W59">
        <v>5400</v>
      </c>
      <c r="X59">
        <v>24</v>
      </c>
      <c r="Y59">
        <v>28</v>
      </c>
      <c r="Z59" s="4">
        <v>15985</v>
      </c>
    </row>
    <row r="60" spans="1:26" hidden="1" x14ac:dyDescent="0.35">
      <c r="A60">
        <v>-1</v>
      </c>
      <c r="C60" s="6" t="s">
        <v>55</v>
      </c>
      <c r="D60" s="6" t="s">
        <v>1</v>
      </c>
      <c r="E60" t="s">
        <v>2</v>
      </c>
      <c r="F60" t="s">
        <v>8</v>
      </c>
      <c r="G60" t="s">
        <v>19</v>
      </c>
      <c r="H60" t="s">
        <v>5</v>
      </c>
      <c r="I60" t="s">
        <v>6</v>
      </c>
      <c r="J60" s="4">
        <v>104.5</v>
      </c>
      <c r="K60" s="4">
        <v>187.8</v>
      </c>
      <c r="L60" s="4">
        <v>66.5</v>
      </c>
      <c r="M60" s="4">
        <v>54.1</v>
      </c>
      <c r="N60" s="4">
        <v>3151</v>
      </c>
      <c r="O60" t="s">
        <v>7</v>
      </c>
      <c r="P60" t="s">
        <v>12</v>
      </c>
      <c r="Q60" s="4">
        <v>161</v>
      </c>
      <c r="R60" t="s">
        <v>9</v>
      </c>
      <c r="S60">
        <v>3.27</v>
      </c>
      <c r="T60">
        <v>3.35</v>
      </c>
      <c r="U60">
        <v>9.1999999999999993</v>
      </c>
      <c r="V60" s="4">
        <v>156</v>
      </c>
      <c r="W60">
        <v>5200</v>
      </c>
      <c r="X60">
        <v>19</v>
      </c>
      <c r="Y60">
        <v>24</v>
      </c>
      <c r="Z60" s="4">
        <v>15750</v>
      </c>
    </row>
    <row r="61" spans="1:26" x14ac:dyDescent="0.35">
      <c r="A61">
        <v>-1</v>
      </c>
      <c r="B61" s="4">
        <v>90</v>
      </c>
      <c r="C61" s="6" t="s">
        <v>55</v>
      </c>
      <c r="D61" s="6" t="s">
        <v>1</v>
      </c>
      <c r="E61" t="s">
        <v>2</v>
      </c>
      <c r="F61" t="s">
        <v>8</v>
      </c>
      <c r="G61" t="s">
        <v>14</v>
      </c>
      <c r="H61" t="s">
        <v>5</v>
      </c>
      <c r="I61" t="s">
        <v>6</v>
      </c>
      <c r="J61" s="4">
        <v>104.5</v>
      </c>
      <c r="K61" s="4">
        <v>187.8</v>
      </c>
      <c r="L61" s="4">
        <v>66.5</v>
      </c>
      <c r="M61" s="4">
        <v>54.1</v>
      </c>
      <c r="N61" s="4">
        <v>3131</v>
      </c>
      <c r="O61" t="s">
        <v>7</v>
      </c>
      <c r="P61" t="s">
        <v>12</v>
      </c>
      <c r="Q61" s="4">
        <v>171</v>
      </c>
      <c r="R61" t="s">
        <v>9</v>
      </c>
      <c r="S61">
        <v>3.27</v>
      </c>
      <c r="T61">
        <v>3.35</v>
      </c>
      <c r="U61">
        <v>9.1999999999999993</v>
      </c>
      <c r="V61" s="4">
        <v>156</v>
      </c>
      <c r="W61">
        <v>5200</v>
      </c>
      <c r="X61">
        <v>20</v>
      </c>
      <c r="Y61">
        <v>24</v>
      </c>
      <c r="Z61" s="4">
        <v>15690</v>
      </c>
    </row>
    <row r="62" spans="1:26" x14ac:dyDescent="0.35">
      <c r="A62">
        <v>3</v>
      </c>
      <c r="B62" s="4">
        <v>150</v>
      </c>
      <c r="C62" s="6" t="s">
        <v>34</v>
      </c>
      <c r="D62" s="6" t="s">
        <v>1</v>
      </c>
      <c r="E62" t="s">
        <v>2</v>
      </c>
      <c r="F62" t="s">
        <v>3</v>
      </c>
      <c r="G62" t="s">
        <v>10</v>
      </c>
      <c r="H62" t="s">
        <v>5</v>
      </c>
      <c r="I62" t="s">
        <v>6</v>
      </c>
      <c r="J62" s="4">
        <v>95.3</v>
      </c>
      <c r="K62" s="4">
        <v>169</v>
      </c>
      <c r="L62" s="4">
        <v>65.7</v>
      </c>
      <c r="M62" s="4">
        <v>49.6</v>
      </c>
      <c r="N62" s="4">
        <v>2500</v>
      </c>
      <c r="O62" t="s">
        <v>35</v>
      </c>
      <c r="P62" t="s">
        <v>3</v>
      </c>
      <c r="Q62" s="4">
        <v>80</v>
      </c>
      <c r="R62" t="s">
        <v>9</v>
      </c>
      <c r="S62">
        <v>3.3297512440000001</v>
      </c>
      <c r="T62">
        <v>3.3</v>
      </c>
      <c r="U62">
        <v>9.4</v>
      </c>
      <c r="V62" s="4">
        <v>135</v>
      </c>
      <c r="W62">
        <v>6000</v>
      </c>
      <c r="X62">
        <v>16</v>
      </c>
      <c r="Y62">
        <v>23</v>
      </c>
      <c r="Z62" s="4">
        <v>15645</v>
      </c>
    </row>
    <row r="63" spans="1:26" x14ac:dyDescent="0.35">
      <c r="A63">
        <v>0</v>
      </c>
      <c r="B63" s="4">
        <v>161</v>
      </c>
      <c r="C63" s="6" t="s">
        <v>46</v>
      </c>
      <c r="D63" s="6" t="s">
        <v>1</v>
      </c>
      <c r="E63" t="s">
        <v>2</v>
      </c>
      <c r="F63" t="s">
        <v>8</v>
      </c>
      <c r="G63" t="s">
        <v>14</v>
      </c>
      <c r="H63" t="s">
        <v>5</v>
      </c>
      <c r="I63" t="s">
        <v>6</v>
      </c>
      <c r="J63" s="4">
        <v>107.9</v>
      </c>
      <c r="K63" s="4">
        <v>186.7</v>
      </c>
      <c r="L63" s="4">
        <v>68.400000000000006</v>
      </c>
      <c r="M63" s="4">
        <v>56.7</v>
      </c>
      <c r="N63" s="4">
        <v>3075</v>
      </c>
      <c r="O63" t="s">
        <v>23</v>
      </c>
      <c r="P63" t="s">
        <v>8</v>
      </c>
      <c r="Q63" s="4">
        <v>120</v>
      </c>
      <c r="R63" t="s">
        <v>9</v>
      </c>
      <c r="S63">
        <v>3.46</v>
      </c>
      <c r="T63">
        <v>2.19</v>
      </c>
      <c r="U63">
        <v>8.4</v>
      </c>
      <c r="V63" s="4">
        <v>95</v>
      </c>
      <c r="W63">
        <v>5000</v>
      </c>
      <c r="X63">
        <v>19</v>
      </c>
      <c r="Y63">
        <v>24</v>
      </c>
      <c r="Z63" s="4">
        <v>15580</v>
      </c>
    </row>
    <row r="64" spans="1:26" x14ac:dyDescent="0.35">
      <c r="A64">
        <v>2</v>
      </c>
      <c r="B64" s="4">
        <v>104</v>
      </c>
      <c r="C64" s="6" t="s">
        <v>53</v>
      </c>
      <c r="D64" s="6" t="s">
        <v>1</v>
      </c>
      <c r="E64" t="s">
        <v>2</v>
      </c>
      <c r="F64" t="s">
        <v>8</v>
      </c>
      <c r="G64" t="s">
        <v>14</v>
      </c>
      <c r="H64" t="s">
        <v>15</v>
      </c>
      <c r="I64" t="s">
        <v>6</v>
      </c>
      <c r="J64" s="4">
        <v>99.1</v>
      </c>
      <c r="K64" s="4">
        <v>186.6</v>
      </c>
      <c r="L64" s="4">
        <v>66.5</v>
      </c>
      <c r="M64" s="4">
        <v>56.1</v>
      </c>
      <c r="N64" s="4">
        <v>2758</v>
      </c>
      <c r="O64" t="s">
        <v>16</v>
      </c>
      <c r="P64" t="s">
        <v>8</v>
      </c>
      <c r="Q64" s="4">
        <v>121</v>
      </c>
      <c r="R64" t="s">
        <v>9</v>
      </c>
      <c r="S64">
        <v>3.54</v>
      </c>
      <c r="T64">
        <v>3.07</v>
      </c>
      <c r="U64">
        <v>9.3000000000000007</v>
      </c>
      <c r="V64" s="4">
        <v>110</v>
      </c>
      <c r="W64">
        <v>5250</v>
      </c>
      <c r="X64">
        <v>21</v>
      </c>
      <c r="Y64">
        <v>28</v>
      </c>
      <c r="Z64" s="4">
        <v>15510</v>
      </c>
    </row>
    <row r="65" spans="1:26" hidden="1" x14ac:dyDescent="0.35">
      <c r="A65">
        <v>2</v>
      </c>
      <c r="C65" s="6" t="s">
        <v>13</v>
      </c>
      <c r="D65" s="6" t="s">
        <v>1</v>
      </c>
      <c r="E65" t="s">
        <v>2</v>
      </c>
      <c r="F65" t="s">
        <v>3</v>
      </c>
      <c r="G65" t="s">
        <v>14</v>
      </c>
      <c r="H65" t="s">
        <v>15</v>
      </c>
      <c r="I65" t="s">
        <v>6</v>
      </c>
      <c r="J65" s="4">
        <v>99.8</v>
      </c>
      <c r="K65" s="4">
        <v>177.3</v>
      </c>
      <c r="L65" s="4">
        <v>66.3</v>
      </c>
      <c r="M65" s="4">
        <v>53.1</v>
      </c>
      <c r="N65" s="4">
        <v>2507</v>
      </c>
      <c r="O65" t="s">
        <v>16</v>
      </c>
      <c r="P65" t="s">
        <v>18</v>
      </c>
      <c r="Q65" s="4">
        <v>136</v>
      </c>
      <c r="R65" t="s">
        <v>9</v>
      </c>
      <c r="S65">
        <v>3.19</v>
      </c>
      <c r="T65">
        <v>3.4</v>
      </c>
      <c r="U65">
        <v>8.5</v>
      </c>
      <c r="V65" s="4">
        <v>110</v>
      </c>
      <c r="W65">
        <v>5500</v>
      </c>
      <c r="X65">
        <v>19</v>
      </c>
      <c r="Y65">
        <v>25</v>
      </c>
      <c r="Z65" s="4">
        <v>15250</v>
      </c>
    </row>
    <row r="66" spans="1:26" x14ac:dyDescent="0.35">
      <c r="A66">
        <v>3</v>
      </c>
      <c r="B66" s="4">
        <v>150</v>
      </c>
      <c r="C66" s="6" t="s">
        <v>53</v>
      </c>
      <c r="D66" s="6" t="s">
        <v>1</v>
      </c>
      <c r="E66" t="s">
        <v>2</v>
      </c>
      <c r="F66" t="s">
        <v>3</v>
      </c>
      <c r="G66" t="s">
        <v>10</v>
      </c>
      <c r="H66" t="s">
        <v>15</v>
      </c>
      <c r="I66" t="s">
        <v>6</v>
      </c>
      <c r="J66" s="4">
        <v>99.1</v>
      </c>
      <c r="K66" s="4">
        <v>186.6</v>
      </c>
      <c r="L66" s="4">
        <v>66.5</v>
      </c>
      <c r="M66" s="4">
        <v>56.1</v>
      </c>
      <c r="N66" s="4">
        <v>2707</v>
      </c>
      <c r="O66" t="s">
        <v>16</v>
      </c>
      <c r="P66" t="s">
        <v>8</v>
      </c>
      <c r="Q66" s="4">
        <v>121</v>
      </c>
      <c r="R66" t="s">
        <v>9</v>
      </c>
      <c r="S66">
        <v>2.54</v>
      </c>
      <c r="T66">
        <v>2.0699999999999998</v>
      </c>
      <c r="U66">
        <v>9.3000000000000007</v>
      </c>
      <c r="V66" s="4">
        <v>110</v>
      </c>
      <c r="W66">
        <v>5250</v>
      </c>
      <c r="X66">
        <v>21</v>
      </c>
      <c r="Y66">
        <v>28</v>
      </c>
      <c r="Z66" s="4">
        <v>15040</v>
      </c>
    </row>
    <row r="67" spans="1:26" hidden="1" x14ac:dyDescent="0.35">
      <c r="A67">
        <v>3</v>
      </c>
      <c r="C67" s="6" t="s">
        <v>43</v>
      </c>
      <c r="D67" s="6" t="s">
        <v>1</v>
      </c>
      <c r="E67" t="s">
        <v>20</v>
      </c>
      <c r="F67" t="s">
        <v>3</v>
      </c>
      <c r="G67" t="s">
        <v>10</v>
      </c>
      <c r="H67" t="s">
        <v>15</v>
      </c>
      <c r="I67" t="s">
        <v>6</v>
      </c>
      <c r="J67" s="4">
        <v>95.9</v>
      </c>
      <c r="K67" s="4">
        <v>173.2</v>
      </c>
      <c r="L67" s="4">
        <v>66.3</v>
      </c>
      <c r="M67" s="4">
        <v>50.2</v>
      </c>
      <c r="N67" s="4">
        <v>2921</v>
      </c>
      <c r="O67" t="s">
        <v>16</v>
      </c>
      <c r="P67" t="s">
        <v>8</v>
      </c>
      <c r="Q67" s="4">
        <v>156</v>
      </c>
      <c r="R67" t="s">
        <v>44</v>
      </c>
      <c r="S67">
        <v>3.59</v>
      </c>
      <c r="T67">
        <v>3.86</v>
      </c>
      <c r="U67">
        <v>7</v>
      </c>
      <c r="V67" s="4">
        <v>145</v>
      </c>
      <c r="W67">
        <v>5000</v>
      </c>
      <c r="X67">
        <v>19</v>
      </c>
      <c r="Y67">
        <v>24</v>
      </c>
      <c r="Z67" s="4">
        <v>14869</v>
      </c>
    </row>
    <row r="68" spans="1:26" hidden="1" x14ac:dyDescent="0.35">
      <c r="A68">
        <v>3</v>
      </c>
      <c r="C68" s="6" t="s">
        <v>43</v>
      </c>
      <c r="D68" s="6" t="s">
        <v>1</v>
      </c>
      <c r="E68" t="s">
        <v>20</v>
      </c>
      <c r="F68" t="s">
        <v>3</v>
      </c>
      <c r="G68" t="s">
        <v>10</v>
      </c>
      <c r="H68" t="s">
        <v>15</v>
      </c>
      <c r="I68" t="s">
        <v>6</v>
      </c>
      <c r="J68" s="4">
        <v>95.9</v>
      </c>
      <c r="K68" s="4">
        <v>173.2</v>
      </c>
      <c r="L68" s="4">
        <v>66.3</v>
      </c>
      <c r="M68" s="4">
        <v>50.2</v>
      </c>
      <c r="N68" s="4">
        <v>2926</v>
      </c>
      <c r="O68" t="s">
        <v>16</v>
      </c>
      <c r="P68" t="s">
        <v>8</v>
      </c>
      <c r="Q68" s="4">
        <v>156</v>
      </c>
      <c r="R68" t="s">
        <v>44</v>
      </c>
      <c r="S68">
        <v>3.59</v>
      </c>
      <c r="T68">
        <v>3.86</v>
      </c>
      <c r="U68">
        <v>7</v>
      </c>
      <c r="V68" s="4">
        <v>145</v>
      </c>
      <c r="W68">
        <v>5000</v>
      </c>
      <c r="X68">
        <v>19</v>
      </c>
      <c r="Y68">
        <v>24</v>
      </c>
      <c r="Z68" s="4">
        <v>14489</v>
      </c>
    </row>
    <row r="69" spans="1:26" x14ac:dyDescent="0.35">
      <c r="A69">
        <v>0</v>
      </c>
      <c r="B69" s="4">
        <v>108</v>
      </c>
      <c r="C69" s="6" t="s">
        <v>45</v>
      </c>
      <c r="D69" s="6" t="s">
        <v>1</v>
      </c>
      <c r="E69" t="s">
        <v>2</v>
      </c>
      <c r="F69" t="s">
        <v>8</v>
      </c>
      <c r="G69" t="s">
        <v>19</v>
      </c>
      <c r="H69" t="s">
        <v>15</v>
      </c>
      <c r="I69" t="s">
        <v>6</v>
      </c>
      <c r="J69" s="4">
        <v>100.4</v>
      </c>
      <c r="K69" s="4">
        <v>184.6</v>
      </c>
      <c r="L69" s="4">
        <v>66.5</v>
      </c>
      <c r="M69" s="4">
        <v>56.1</v>
      </c>
      <c r="N69" s="4">
        <v>3296</v>
      </c>
      <c r="O69" t="s">
        <v>11</v>
      </c>
      <c r="P69" t="s">
        <v>12</v>
      </c>
      <c r="Q69" s="4">
        <v>181</v>
      </c>
      <c r="R69" t="s">
        <v>9</v>
      </c>
      <c r="S69">
        <v>3.43</v>
      </c>
      <c r="T69">
        <v>3.27</v>
      </c>
      <c r="U69">
        <v>9</v>
      </c>
      <c r="V69" s="4">
        <v>152</v>
      </c>
      <c r="W69">
        <v>5200</v>
      </c>
      <c r="X69">
        <v>17</v>
      </c>
      <c r="Y69">
        <v>22</v>
      </c>
      <c r="Z69" s="4">
        <v>14399</v>
      </c>
    </row>
    <row r="70" spans="1:26" x14ac:dyDescent="0.35">
      <c r="A70">
        <v>2</v>
      </c>
      <c r="B70" s="4">
        <v>164</v>
      </c>
      <c r="C70" s="6" t="s">
        <v>13</v>
      </c>
      <c r="D70" s="6" t="s">
        <v>1</v>
      </c>
      <c r="E70" t="s">
        <v>2</v>
      </c>
      <c r="F70" t="s">
        <v>8</v>
      </c>
      <c r="G70" t="s">
        <v>14</v>
      </c>
      <c r="H70" t="s">
        <v>15</v>
      </c>
      <c r="I70" t="s">
        <v>6</v>
      </c>
      <c r="J70" s="4">
        <v>99.8</v>
      </c>
      <c r="K70" s="4">
        <v>176.6</v>
      </c>
      <c r="L70" s="4">
        <v>66.2</v>
      </c>
      <c r="M70" s="4">
        <v>54.3</v>
      </c>
      <c r="N70" s="4">
        <v>2337</v>
      </c>
      <c r="O70" t="s">
        <v>16</v>
      </c>
      <c r="P70" t="s">
        <v>8</v>
      </c>
      <c r="Q70" s="4">
        <v>109</v>
      </c>
      <c r="R70" t="s">
        <v>9</v>
      </c>
      <c r="S70">
        <v>3.19</v>
      </c>
      <c r="T70">
        <v>3.4</v>
      </c>
      <c r="U70">
        <v>10</v>
      </c>
      <c r="V70" s="4">
        <v>102</v>
      </c>
      <c r="W70">
        <v>5500</v>
      </c>
      <c r="X70">
        <v>24</v>
      </c>
      <c r="Y70">
        <v>30</v>
      </c>
      <c r="Z70" s="4">
        <v>13950</v>
      </c>
    </row>
    <row r="71" spans="1:26" hidden="1" x14ac:dyDescent="0.35">
      <c r="A71">
        <v>0</v>
      </c>
      <c r="C71" s="6" t="s">
        <v>46</v>
      </c>
      <c r="D71" s="6" t="s">
        <v>37</v>
      </c>
      <c r="E71" t="s">
        <v>20</v>
      </c>
      <c r="F71" t="s">
        <v>8</v>
      </c>
      <c r="G71" t="s">
        <v>19</v>
      </c>
      <c r="H71" t="s">
        <v>5</v>
      </c>
      <c r="I71" t="s">
        <v>6</v>
      </c>
      <c r="J71" s="4">
        <v>114.2</v>
      </c>
      <c r="K71" s="4">
        <v>198.9</v>
      </c>
      <c r="L71" s="4">
        <v>68.400000000000006</v>
      </c>
      <c r="M71" s="4">
        <v>58.7</v>
      </c>
      <c r="N71" s="4">
        <v>3430</v>
      </c>
      <c r="O71" t="s">
        <v>23</v>
      </c>
      <c r="P71" t="s">
        <v>8</v>
      </c>
      <c r="Q71" s="4">
        <v>152</v>
      </c>
      <c r="R71" t="s">
        <v>38</v>
      </c>
      <c r="S71">
        <v>3.7</v>
      </c>
      <c r="T71">
        <v>3.52</v>
      </c>
      <c r="U71">
        <v>21</v>
      </c>
      <c r="V71" s="4">
        <v>95</v>
      </c>
      <c r="W71">
        <v>4150</v>
      </c>
      <c r="X71">
        <v>25</v>
      </c>
      <c r="Y71">
        <v>25</v>
      </c>
      <c r="Z71" s="4">
        <v>13860</v>
      </c>
    </row>
    <row r="72" spans="1:26" hidden="1" x14ac:dyDescent="0.35">
      <c r="A72">
        <v>0</v>
      </c>
      <c r="C72" s="6" t="s">
        <v>56</v>
      </c>
      <c r="D72" s="6" t="s">
        <v>37</v>
      </c>
      <c r="E72" t="s">
        <v>20</v>
      </c>
      <c r="F72" t="s">
        <v>8</v>
      </c>
      <c r="G72" t="s">
        <v>14</v>
      </c>
      <c r="H72" t="s">
        <v>15</v>
      </c>
      <c r="I72" t="s">
        <v>6</v>
      </c>
      <c r="J72" s="4">
        <v>100.4</v>
      </c>
      <c r="K72" s="4">
        <v>180.2</v>
      </c>
      <c r="L72" s="4">
        <v>66.900000000000006</v>
      </c>
      <c r="M72" s="4">
        <v>55.1</v>
      </c>
      <c r="N72" s="4">
        <v>2579</v>
      </c>
      <c r="O72" t="s">
        <v>16</v>
      </c>
      <c r="P72" t="s">
        <v>8</v>
      </c>
      <c r="Q72" s="4">
        <v>97</v>
      </c>
      <c r="R72" t="s">
        <v>38</v>
      </c>
      <c r="S72">
        <v>3.01</v>
      </c>
      <c r="T72">
        <v>3.4</v>
      </c>
      <c r="U72">
        <v>23</v>
      </c>
      <c r="V72" s="4">
        <v>68</v>
      </c>
      <c r="W72">
        <v>4500</v>
      </c>
      <c r="X72">
        <v>33</v>
      </c>
      <c r="Y72">
        <v>38</v>
      </c>
      <c r="Z72" s="4">
        <v>13845</v>
      </c>
    </row>
    <row r="73" spans="1:26" x14ac:dyDescent="0.35">
      <c r="A73">
        <v>3</v>
      </c>
      <c r="B73" s="4">
        <v>150</v>
      </c>
      <c r="C73" s="6" t="s">
        <v>34</v>
      </c>
      <c r="D73" s="6" t="s">
        <v>1</v>
      </c>
      <c r="E73" t="s">
        <v>2</v>
      </c>
      <c r="F73" t="s">
        <v>3</v>
      </c>
      <c r="G73" t="s">
        <v>10</v>
      </c>
      <c r="H73" t="s">
        <v>5</v>
      </c>
      <c r="I73" t="s">
        <v>6</v>
      </c>
      <c r="J73" s="4">
        <v>95.3</v>
      </c>
      <c r="K73" s="4">
        <v>169</v>
      </c>
      <c r="L73" s="4">
        <v>65.7</v>
      </c>
      <c r="M73" s="4">
        <v>49.6</v>
      </c>
      <c r="N73" s="4">
        <v>2385</v>
      </c>
      <c r="O73" t="s">
        <v>35</v>
      </c>
      <c r="P73" t="s">
        <v>3</v>
      </c>
      <c r="Q73" s="4">
        <v>70</v>
      </c>
      <c r="R73" t="s">
        <v>36</v>
      </c>
      <c r="S73">
        <v>3.3297512440000001</v>
      </c>
      <c r="T73">
        <v>3.3</v>
      </c>
      <c r="U73">
        <v>9.4</v>
      </c>
      <c r="V73" s="4">
        <v>101</v>
      </c>
      <c r="W73">
        <v>6000</v>
      </c>
      <c r="X73">
        <v>17</v>
      </c>
      <c r="Y73">
        <v>23</v>
      </c>
      <c r="Z73" s="4">
        <v>13645</v>
      </c>
    </row>
    <row r="74" spans="1:26" x14ac:dyDescent="0.35">
      <c r="A74">
        <v>0</v>
      </c>
      <c r="B74" s="4">
        <v>128</v>
      </c>
      <c r="C74" s="6" t="s">
        <v>45</v>
      </c>
      <c r="D74" s="6" t="s">
        <v>1</v>
      </c>
      <c r="E74" t="s">
        <v>2</v>
      </c>
      <c r="F74" t="s">
        <v>8</v>
      </c>
      <c r="G74" t="s">
        <v>14</v>
      </c>
      <c r="H74" t="s">
        <v>15</v>
      </c>
      <c r="I74" t="s">
        <v>6</v>
      </c>
      <c r="J74" s="4">
        <v>100.4</v>
      </c>
      <c r="K74" s="4">
        <v>181.7</v>
      </c>
      <c r="L74" s="4">
        <v>66.5</v>
      </c>
      <c r="M74" s="4">
        <v>55.1</v>
      </c>
      <c r="N74" s="4">
        <v>3095</v>
      </c>
      <c r="O74" t="s">
        <v>11</v>
      </c>
      <c r="P74" t="s">
        <v>12</v>
      </c>
      <c r="Q74" s="4">
        <v>181</v>
      </c>
      <c r="R74" t="s">
        <v>9</v>
      </c>
      <c r="S74">
        <v>3.43</v>
      </c>
      <c r="T74">
        <v>3.27</v>
      </c>
      <c r="U74">
        <v>9</v>
      </c>
      <c r="V74" s="4">
        <v>152</v>
      </c>
      <c r="W74">
        <v>5200</v>
      </c>
      <c r="X74">
        <v>17</v>
      </c>
      <c r="Y74">
        <v>22</v>
      </c>
      <c r="Z74" s="4">
        <v>13499</v>
      </c>
    </row>
    <row r="75" spans="1:26" x14ac:dyDescent="0.35">
      <c r="A75">
        <v>0</v>
      </c>
      <c r="B75" s="4">
        <v>108</v>
      </c>
      <c r="C75" s="6" t="s">
        <v>45</v>
      </c>
      <c r="D75" s="6" t="s">
        <v>1</v>
      </c>
      <c r="E75" t="s">
        <v>2</v>
      </c>
      <c r="F75" t="s">
        <v>8</v>
      </c>
      <c r="G75" t="s">
        <v>14</v>
      </c>
      <c r="H75" t="s">
        <v>15</v>
      </c>
      <c r="I75" t="s">
        <v>6</v>
      </c>
      <c r="J75" s="4">
        <v>100.4</v>
      </c>
      <c r="K75" s="4">
        <v>184.6</v>
      </c>
      <c r="L75" s="4">
        <v>66.5</v>
      </c>
      <c r="M75" s="4">
        <v>55.1</v>
      </c>
      <c r="N75" s="4">
        <v>3060</v>
      </c>
      <c r="O75" t="s">
        <v>11</v>
      </c>
      <c r="P75" t="s">
        <v>12</v>
      </c>
      <c r="Q75" s="4">
        <v>181</v>
      </c>
      <c r="R75" t="s">
        <v>9</v>
      </c>
      <c r="S75">
        <v>3.43</v>
      </c>
      <c r="T75">
        <v>3.27</v>
      </c>
      <c r="U75">
        <v>9</v>
      </c>
      <c r="V75" s="4">
        <v>152</v>
      </c>
      <c r="W75">
        <v>5200</v>
      </c>
      <c r="X75">
        <v>19</v>
      </c>
      <c r="Y75">
        <v>25</v>
      </c>
      <c r="Z75" s="4">
        <v>13499</v>
      </c>
    </row>
    <row r="76" spans="1:26" hidden="1" x14ac:dyDescent="0.35">
      <c r="A76">
        <v>3</v>
      </c>
      <c r="C76" s="6" t="s">
        <v>0</v>
      </c>
      <c r="D76" s="6" t="s">
        <v>1</v>
      </c>
      <c r="E76" t="s">
        <v>2</v>
      </c>
      <c r="F76" t="s">
        <v>3</v>
      </c>
      <c r="G76" t="s">
        <v>4</v>
      </c>
      <c r="H76" t="s">
        <v>5</v>
      </c>
      <c r="I76" t="s">
        <v>6</v>
      </c>
      <c r="J76" s="4">
        <v>88.6</v>
      </c>
      <c r="K76" s="4">
        <v>168.8</v>
      </c>
      <c r="L76" s="4">
        <v>64.099999999999994</v>
      </c>
      <c r="M76" s="4">
        <v>48.8</v>
      </c>
      <c r="N76" s="4">
        <v>2548</v>
      </c>
      <c r="O76" t="s">
        <v>7</v>
      </c>
      <c r="P76" t="s">
        <v>8</v>
      </c>
      <c r="Q76" s="4">
        <v>130</v>
      </c>
      <c r="R76" t="s">
        <v>9</v>
      </c>
      <c r="S76">
        <v>3.47</v>
      </c>
      <c r="T76">
        <v>2.68</v>
      </c>
      <c r="U76">
        <v>9</v>
      </c>
      <c r="V76" s="4">
        <v>111</v>
      </c>
      <c r="W76">
        <v>5000</v>
      </c>
      <c r="X76">
        <v>21</v>
      </c>
      <c r="Y76">
        <v>27</v>
      </c>
      <c r="Z76" s="4">
        <v>13495</v>
      </c>
    </row>
    <row r="77" spans="1:26" x14ac:dyDescent="0.35">
      <c r="A77">
        <v>-1</v>
      </c>
      <c r="B77" s="4">
        <v>74</v>
      </c>
      <c r="C77" s="6" t="s">
        <v>57</v>
      </c>
      <c r="D77" s="6" t="s">
        <v>1</v>
      </c>
      <c r="E77" t="s">
        <v>2</v>
      </c>
      <c r="F77" t="s">
        <v>8</v>
      </c>
      <c r="G77" t="s">
        <v>19</v>
      </c>
      <c r="H77" t="s">
        <v>5</v>
      </c>
      <c r="I77" t="s">
        <v>6</v>
      </c>
      <c r="J77" s="4">
        <v>104.3</v>
      </c>
      <c r="K77" s="4">
        <v>188.8</v>
      </c>
      <c r="L77" s="4">
        <v>67.2</v>
      </c>
      <c r="M77" s="4">
        <v>57.5</v>
      </c>
      <c r="N77" s="4">
        <v>3034</v>
      </c>
      <c r="O77" t="s">
        <v>16</v>
      </c>
      <c r="P77" t="s">
        <v>8</v>
      </c>
      <c r="Q77" s="4">
        <v>141</v>
      </c>
      <c r="R77" t="s">
        <v>9</v>
      </c>
      <c r="S77">
        <v>3.78</v>
      </c>
      <c r="T77">
        <v>3.15</v>
      </c>
      <c r="U77">
        <v>9.5</v>
      </c>
      <c r="V77" s="4">
        <v>114</v>
      </c>
      <c r="W77">
        <v>5400</v>
      </c>
      <c r="X77">
        <v>23</v>
      </c>
      <c r="Y77">
        <v>28</v>
      </c>
      <c r="Z77" s="4">
        <v>13415</v>
      </c>
    </row>
    <row r="78" spans="1:26" hidden="1" x14ac:dyDescent="0.35">
      <c r="A78">
        <v>0</v>
      </c>
      <c r="C78" s="6" t="s">
        <v>56</v>
      </c>
      <c r="D78" s="6" t="s">
        <v>1</v>
      </c>
      <c r="E78" t="s">
        <v>2</v>
      </c>
      <c r="F78" t="s">
        <v>8</v>
      </c>
      <c r="G78" t="s">
        <v>14</v>
      </c>
      <c r="H78" t="s">
        <v>15</v>
      </c>
      <c r="I78" t="s">
        <v>6</v>
      </c>
      <c r="J78" s="4">
        <v>100.4</v>
      </c>
      <c r="K78" s="4">
        <v>180.2</v>
      </c>
      <c r="L78" s="4">
        <v>66.900000000000006</v>
      </c>
      <c r="M78" s="4">
        <v>55.1</v>
      </c>
      <c r="N78" s="4">
        <v>2661</v>
      </c>
      <c r="O78" t="s">
        <v>16</v>
      </c>
      <c r="P78" t="s">
        <v>18</v>
      </c>
      <c r="Q78" s="4">
        <v>136</v>
      </c>
      <c r="R78" t="s">
        <v>9</v>
      </c>
      <c r="S78">
        <v>3.19</v>
      </c>
      <c r="T78">
        <v>3.4</v>
      </c>
      <c r="U78">
        <v>8.5</v>
      </c>
      <c r="V78" s="4">
        <v>110</v>
      </c>
      <c r="W78">
        <v>5500</v>
      </c>
      <c r="X78">
        <v>19</v>
      </c>
      <c r="Y78">
        <v>24</v>
      </c>
      <c r="Z78" s="4">
        <v>13295</v>
      </c>
    </row>
    <row r="79" spans="1:26" x14ac:dyDescent="0.35">
      <c r="A79">
        <v>0</v>
      </c>
      <c r="B79" s="4">
        <v>161</v>
      </c>
      <c r="C79" s="6" t="s">
        <v>46</v>
      </c>
      <c r="D79" s="6" t="s">
        <v>37</v>
      </c>
      <c r="E79" t="s">
        <v>20</v>
      </c>
      <c r="F79" t="s">
        <v>8</v>
      </c>
      <c r="G79" t="s">
        <v>14</v>
      </c>
      <c r="H79" t="s">
        <v>5</v>
      </c>
      <c r="I79" t="s">
        <v>6</v>
      </c>
      <c r="J79" s="4">
        <v>107.9</v>
      </c>
      <c r="K79" s="4">
        <v>186.7</v>
      </c>
      <c r="L79" s="4">
        <v>68.400000000000006</v>
      </c>
      <c r="M79" s="4">
        <v>56.7</v>
      </c>
      <c r="N79" s="4">
        <v>3197</v>
      </c>
      <c r="O79" t="s">
        <v>23</v>
      </c>
      <c r="P79" t="s">
        <v>8</v>
      </c>
      <c r="Q79" s="4">
        <v>152</v>
      </c>
      <c r="R79" t="s">
        <v>38</v>
      </c>
      <c r="S79">
        <v>3.7</v>
      </c>
      <c r="T79">
        <v>3.52</v>
      </c>
      <c r="U79">
        <v>21</v>
      </c>
      <c r="V79" s="4">
        <v>95</v>
      </c>
      <c r="W79">
        <v>4150</v>
      </c>
      <c r="X79">
        <v>28</v>
      </c>
      <c r="Y79">
        <v>33</v>
      </c>
      <c r="Z79" s="4">
        <v>13200</v>
      </c>
    </row>
    <row r="80" spans="1:26" x14ac:dyDescent="0.35">
      <c r="A80">
        <v>3</v>
      </c>
      <c r="B80" s="4">
        <v>145</v>
      </c>
      <c r="C80" s="6" t="s">
        <v>26</v>
      </c>
      <c r="D80" s="6" t="s">
        <v>1</v>
      </c>
      <c r="E80" t="s">
        <v>20</v>
      </c>
      <c r="F80" t="s">
        <v>3</v>
      </c>
      <c r="G80" t="s">
        <v>10</v>
      </c>
      <c r="H80" t="s">
        <v>15</v>
      </c>
      <c r="I80" t="s">
        <v>6</v>
      </c>
      <c r="J80" s="4">
        <v>95.9</v>
      </c>
      <c r="K80" s="4">
        <v>173.2</v>
      </c>
      <c r="L80" s="4">
        <v>66.3</v>
      </c>
      <c r="M80" s="4">
        <v>50.2</v>
      </c>
      <c r="N80" s="4">
        <v>2811</v>
      </c>
      <c r="O80" t="s">
        <v>16</v>
      </c>
      <c r="P80" t="s">
        <v>8</v>
      </c>
      <c r="Q80" s="4">
        <v>156</v>
      </c>
      <c r="R80" t="s">
        <v>27</v>
      </c>
      <c r="S80">
        <v>3.6</v>
      </c>
      <c r="T80">
        <v>3.9</v>
      </c>
      <c r="U80">
        <v>7</v>
      </c>
      <c r="V80" s="4">
        <v>145</v>
      </c>
      <c r="W80">
        <v>5000</v>
      </c>
      <c r="X80">
        <v>19</v>
      </c>
      <c r="Y80">
        <v>24</v>
      </c>
      <c r="Z80" s="4">
        <v>12964</v>
      </c>
    </row>
    <row r="81" spans="1:26" x14ac:dyDescent="0.35">
      <c r="A81">
        <v>0</v>
      </c>
      <c r="B81" s="4">
        <v>85</v>
      </c>
      <c r="C81" s="6" t="s">
        <v>28</v>
      </c>
      <c r="D81" s="6" t="s">
        <v>1</v>
      </c>
      <c r="E81" t="s">
        <v>2</v>
      </c>
      <c r="F81" t="s">
        <v>8</v>
      </c>
      <c r="G81" t="s">
        <v>14</v>
      </c>
      <c r="H81" t="s">
        <v>15</v>
      </c>
      <c r="I81" t="s">
        <v>6</v>
      </c>
      <c r="J81" s="4">
        <v>96.5</v>
      </c>
      <c r="K81" s="4">
        <v>175.4</v>
      </c>
      <c r="L81" s="4">
        <v>65.2</v>
      </c>
      <c r="M81" s="4">
        <v>54.1</v>
      </c>
      <c r="N81" s="4">
        <v>2465</v>
      </c>
      <c r="O81" t="s">
        <v>16</v>
      </c>
      <c r="P81" t="s">
        <v>8</v>
      </c>
      <c r="Q81" s="4">
        <v>110</v>
      </c>
      <c r="R81" t="s">
        <v>9</v>
      </c>
      <c r="S81">
        <v>3.15</v>
      </c>
      <c r="T81">
        <v>3.58</v>
      </c>
      <c r="U81">
        <v>9</v>
      </c>
      <c r="V81" s="4">
        <v>101</v>
      </c>
      <c r="W81">
        <v>5800</v>
      </c>
      <c r="X81">
        <v>24</v>
      </c>
      <c r="Y81">
        <v>28</v>
      </c>
      <c r="Z81" s="4">
        <v>12945</v>
      </c>
    </row>
    <row r="82" spans="1:26" x14ac:dyDescent="0.35">
      <c r="A82">
        <v>-2</v>
      </c>
      <c r="B82" s="4">
        <v>103</v>
      </c>
      <c r="C82" s="6" t="s">
        <v>57</v>
      </c>
      <c r="D82" s="6" t="s">
        <v>1</v>
      </c>
      <c r="E82" t="s">
        <v>2</v>
      </c>
      <c r="F82" t="s">
        <v>8</v>
      </c>
      <c r="G82" t="s">
        <v>14</v>
      </c>
      <c r="H82" t="s">
        <v>5</v>
      </c>
      <c r="I82" t="s">
        <v>6</v>
      </c>
      <c r="J82" s="4">
        <v>104.3</v>
      </c>
      <c r="K82" s="4">
        <v>188.8</v>
      </c>
      <c r="L82" s="4">
        <v>67.2</v>
      </c>
      <c r="M82" s="4">
        <v>56.2</v>
      </c>
      <c r="N82" s="4">
        <v>2912</v>
      </c>
      <c r="O82" t="s">
        <v>16</v>
      </c>
      <c r="P82" t="s">
        <v>8</v>
      </c>
      <c r="Q82" s="4">
        <v>141</v>
      </c>
      <c r="R82" t="s">
        <v>9</v>
      </c>
      <c r="S82">
        <v>3.78</v>
      </c>
      <c r="T82">
        <v>3.15</v>
      </c>
      <c r="U82">
        <v>9.5</v>
      </c>
      <c r="V82" s="4">
        <v>114</v>
      </c>
      <c r="W82">
        <v>5400</v>
      </c>
      <c r="X82">
        <v>23</v>
      </c>
      <c r="Y82">
        <v>28</v>
      </c>
      <c r="Z82" s="4">
        <v>12940</v>
      </c>
    </row>
    <row r="83" spans="1:26" hidden="1" x14ac:dyDescent="0.35">
      <c r="A83">
        <v>3</v>
      </c>
      <c r="C83" s="6" t="s">
        <v>47</v>
      </c>
      <c r="D83" s="6" t="s">
        <v>1</v>
      </c>
      <c r="E83" t="s">
        <v>20</v>
      </c>
      <c r="F83" t="s">
        <v>3</v>
      </c>
      <c r="G83" t="s">
        <v>10</v>
      </c>
      <c r="H83" t="s">
        <v>5</v>
      </c>
      <c r="I83" t="s">
        <v>6</v>
      </c>
      <c r="J83" s="4">
        <v>95.9</v>
      </c>
      <c r="K83" s="4">
        <v>173.2</v>
      </c>
      <c r="L83" s="4">
        <v>66.3</v>
      </c>
      <c r="M83" s="4">
        <v>50.2</v>
      </c>
      <c r="N83" s="4">
        <v>2818</v>
      </c>
      <c r="O83" t="s">
        <v>16</v>
      </c>
      <c r="P83" t="s">
        <v>8</v>
      </c>
      <c r="Q83" s="4">
        <v>156</v>
      </c>
      <c r="R83" t="s">
        <v>44</v>
      </c>
      <c r="S83">
        <v>3.59</v>
      </c>
      <c r="T83">
        <v>3.86</v>
      </c>
      <c r="U83">
        <v>7</v>
      </c>
      <c r="V83" s="4">
        <v>145</v>
      </c>
      <c r="W83">
        <v>5000</v>
      </c>
      <c r="X83">
        <v>19</v>
      </c>
      <c r="Y83">
        <v>24</v>
      </c>
      <c r="Z83" s="4">
        <v>12764</v>
      </c>
    </row>
    <row r="84" spans="1:26" hidden="1" x14ac:dyDescent="0.35">
      <c r="A84">
        <v>3</v>
      </c>
      <c r="C84" s="6" t="s">
        <v>43</v>
      </c>
      <c r="D84" s="6" t="s">
        <v>1</v>
      </c>
      <c r="E84" t="s">
        <v>20</v>
      </c>
      <c r="F84" t="s">
        <v>3</v>
      </c>
      <c r="G84" t="s">
        <v>10</v>
      </c>
      <c r="H84" t="s">
        <v>15</v>
      </c>
      <c r="I84" t="s">
        <v>6</v>
      </c>
      <c r="J84" s="4">
        <v>95.9</v>
      </c>
      <c r="K84" s="4">
        <v>173.2</v>
      </c>
      <c r="L84" s="4">
        <v>66.3</v>
      </c>
      <c r="M84" s="4">
        <v>50.2</v>
      </c>
      <c r="N84" s="4">
        <v>2833</v>
      </c>
      <c r="O84" t="s">
        <v>16</v>
      </c>
      <c r="P84" t="s">
        <v>8</v>
      </c>
      <c r="Q84" s="4">
        <v>156</v>
      </c>
      <c r="R84" t="s">
        <v>44</v>
      </c>
      <c r="S84">
        <v>3.58</v>
      </c>
      <c r="T84">
        <v>3.86</v>
      </c>
      <c r="U84">
        <v>7</v>
      </c>
      <c r="V84" s="4">
        <v>145</v>
      </c>
      <c r="W84">
        <v>5000</v>
      </c>
      <c r="X84">
        <v>19</v>
      </c>
      <c r="Y84">
        <v>24</v>
      </c>
      <c r="Z84" s="4">
        <v>12629</v>
      </c>
    </row>
    <row r="85" spans="1:26" hidden="1" x14ac:dyDescent="0.35">
      <c r="A85">
        <v>0</v>
      </c>
      <c r="C85" s="6" t="s">
        <v>46</v>
      </c>
      <c r="D85" s="6" t="s">
        <v>1</v>
      </c>
      <c r="E85" t="s">
        <v>2</v>
      </c>
      <c r="F85" t="s">
        <v>8</v>
      </c>
      <c r="G85" t="s">
        <v>19</v>
      </c>
      <c r="H85" t="s">
        <v>5</v>
      </c>
      <c r="I85" t="s">
        <v>6</v>
      </c>
      <c r="J85" s="4">
        <v>114.2</v>
      </c>
      <c r="K85" s="4">
        <v>198.9</v>
      </c>
      <c r="L85" s="4">
        <v>68.400000000000006</v>
      </c>
      <c r="M85" s="4">
        <v>58.7</v>
      </c>
      <c r="N85" s="4">
        <v>3230</v>
      </c>
      <c r="O85" t="s">
        <v>23</v>
      </c>
      <c r="P85" t="s">
        <v>8</v>
      </c>
      <c r="Q85" s="4">
        <v>120</v>
      </c>
      <c r="R85" t="s">
        <v>9</v>
      </c>
      <c r="S85">
        <v>3.46</v>
      </c>
      <c r="T85">
        <v>3.19</v>
      </c>
      <c r="U85">
        <v>8.4</v>
      </c>
      <c r="V85" s="4">
        <v>97</v>
      </c>
      <c r="W85">
        <v>5000</v>
      </c>
      <c r="X85">
        <v>19</v>
      </c>
      <c r="Y85">
        <v>24</v>
      </c>
      <c r="Z85" s="4">
        <v>12440</v>
      </c>
    </row>
    <row r="86" spans="1:26" hidden="1" x14ac:dyDescent="0.35">
      <c r="A86">
        <v>0</v>
      </c>
      <c r="C86" s="6" t="s">
        <v>56</v>
      </c>
      <c r="D86" s="6" t="s">
        <v>1</v>
      </c>
      <c r="E86" t="s">
        <v>2</v>
      </c>
      <c r="F86" t="s">
        <v>8</v>
      </c>
      <c r="G86" t="s">
        <v>19</v>
      </c>
      <c r="H86" t="s">
        <v>15</v>
      </c>
      <c r="I86" t="s">
        <v>6</v>
      </c>
      <c r="J86" s="4">
        <v>100.4</v>
      </c>
      <c r="K86" s="4">
        <v>183.1</v>
      </c>
      <c r="L86" s="4">
        <v>66.900000000000006</v>
      </c>
      <c r="M86" s="4">
        <v>55.1</v>
      </c>
      <c r="N86" s="4">
        <v>2563</v>
      </c>
      <c r="O86" t="s">
        <v>16</v>
      </c>
      <c r="P86" t="s">
        <v>8</v>
      </c>
      <c r="Q86" s="4">
        <v>109</v>
      </c>
      <c r="R86" t="s">
        <v>9</v>
      </c>
      <c r="S86">
        <v>3.19</v>
      </c>
      <c r="T86">
        <v>3.4</v>
      </c>
      <c r="U86">
        <v>9</v>
      </c>
      <c r="V86" s="4">
        <v>88</v>
      </c>
      <c r="W86">
        <v>5500</v>
      </c>
      <c r="X86">
        <v>25</v>
      </c>
      <c r="Y86">
        <v>31</v>
      </c>
      <c r="Z86" s="4">
        <v>12290</v>
      </c>
    </row>
    <row r="87" spans="1:26" x14ac:dyDescent="0.35">
      <c r="A87">
        <v>2</v>
      </c>
      <c r="B87" s="4">
        <v>104</v>
      </c>
      <c r="C87" s="6" t="s">
        <v>53</v>
      </c>
      <c r="D87" s="6" t="s">
        <v>1</v>
      </c>
      <c r="E87" t="s">
        <v>2</v>
      </c>
      <c r="F87" t="s">
        <v>8</v>
      </c>
      <c r="G87" t="s">
        <v>14</v>
      </c>
      <c r="H87" t="s">
        <v>15</v>
      </c>
      <c r="I87" t="s">
        <v>6</v>
      </c>
      <c r="J87" s="4">
        <v>99.1</v>
      </c>
      <c r="K87" s="4">
        <v>186.6</v>
      </c>
      <c r="L87" s="4">
        <v>66.5</v>
      </c>
      <c r="M87" s="4">
        <v>56.1</v>
      </c>
      <c r="N87" s="4">
        <v>2695</v>
      </c>
      <c r="O87" t="s">
        <v>16</v>
      </c>
      <c r="P87" t="s">
        <v>8</v>
      </c>
      <c r="Q87" s="4">
        <v>121</v>
      </c>
      <c r="R87" t="s">
        <v>9</v>
      </c>
      <c r="S87">
        <v>3.54</v>
      </c>
      <c r="T87">
        <v>3.07</v>
      </c>
      <c r="U87">
        <v>9.3000000000000007</v>
      </c>
      <c r="V87" s="4">
        <v>110</v>
      </c>
      <c r="W87">
        <v>5250</v>
      </c>
      <c r="X87">
        <v>21</v>
      </c>
      <c r="Y87">
        <v>28</v>
      </c>
      <c r="Z87" s="4">
        <v>12170</v>
      </c>
    </row>
    <row r="88" spans="1:26" x14ac:dyDescent="0.35">
      <c r="A88">
        <v>0</v>
      </c>
      <c r="B88" s="4">
        <v>161</v>
      </c>
      <c r="C88" s="6" t="s">
        <v>46</v>
      </c>
      <c r="D88" s="6" t="s">
        <v>1</v>
      </c>
      <c r="E88" t="s">
        <v>2</v>
      </c>
      <c r="F88" t="s">
        <v>8</v>
      </c>
      <c r="G88" t="s">
        <v>14</v>
      </c>
      <c r="H88" t="s">
        <v>5</v>
      </c>
      <c r="I88" t="s">
        <v>6</v>
      </c>
      <c r="J88" s="4">
        <v>107.9</v>
      </c>
      <c r="K88" s="4">
        <v>186.7</v>
      </c>
      <c r="L88" s="4">
        <v>68.400000000000006</v>
      </c>
      <c r="M88" s="4">
        <v>56.7</v>
      </c>
      <c r="N88" s="4">
        <v>3020</v>
      </c>
      <c r="O88" t="s">
        <v>23</v>
      </c>
      <c r="P88" t="s">
        <v>8</v>
      </c>
      <c r="Q88" s="4">
        <v>120</v>
      </c>
      <c r="R88" t="s">
        <v>9</v>
      </c>
      <c r="S88">
        <v>3.46</v>
      </c>
      <c r="T88">
        <v>3.19</v>
      </c>
      <c r="U88">
        <v>8.4</v>
      </c>
      <c r="V88" s="4">
        <v>97</v>
      </c>
      <c r="W88">
        <v>5000</v>
      </c>
      <c r="X88">
        <v>19</v>
      </c>
      <c r="Y88">
        <v>24</v>
      </c>
      <c r="Z88" s="4">
        <v>11900</v>
      </c>
    </row>
    <row r="89" spans="1:26" x14ac:dyDescent="0.35">
      <c r="A89">
        <v>3</v>
      </c>
      <c r="B89" s="4">
        <v>150</v>
      </c>
      <c r="C89" s="6" t="s">
        <v>53</v>
      </c>
      <c r="D89" s="6" t="s">
        <v>1</v>
      </c>
      <c r="E89" t="s">
        <v>2</v>
      </c>
      <c r="F89" t="s">
        <v>3</v>
      </c>
      <c r="G89" t="s">
        <v>10</v>
      </c>
      <c r="H89" t="s">
        <v>15</v>
      </c>
      <c r="I89" t="s">
        <v>6</v>
      </c>
      <c r="J89" s="4">
        <v>99.1</v>
      </c>
      <c r="K89" s="4">
        <v>186.6</v>
      </c>
      <c r="L89" s="4">
        <v>66.5</v>
      </c>
      <c r="M89" s="4">
        <v>56.1</v>
      </c>
      <c r="N89" s="4">
        <v>2658</v>
      </c>
      <c r="O89" t="s">
        <v>16</v>
      </c>
      <c r="P89" t="s">
        <v>8</v>
      </c>
      <c r="Q89" s="4">
        <v>121</v>
      </c>
      <c r="R89" t="s">
        <v>9</v>
      </c>
      <c r="S89">
        <v>3.54</v>
      </c>
      <c r="T89">
        <v>3.07</v>
      </c>
      <c r="U89">
        <v>9.31</v>
      </c>
      <c r="V89" s="4">
        <v>110</v>
      </c>
      <c r="W89">
        <v>5250</v>
      </c>
      <c r="X89">
        <v>21</v>
      </c>
      <c r="Y89">
        <v>28</v>
      </c>
      <c r="Z89" s="4">
        <v>11850</v>
      </c>
    </row>
    <row r="90" spans="1:26" x14ac:dyDescent="0.35">
      <c r="A90">
        <v>3</v>
      </c>
      <c r="B90" s="4">
        <v>150</v>
      </c>
      <c r="C90" s="6" t="s">
        <v>34</v>
      </c>
      <c r="D90" s="6" t="s">
        <v>1</v>
      </c>
      <c r="E90" t="s">
        <v>2</v>
      </c>
      <c r="F90" t="s">
        <v>3</v>
      </c>
      <c r="G90" t="s">
        <v>10</v>
      </c>
      <c r="H90" t="s">
        <v>5</v>
      </c>
      <c r="I90" t="s">
        <v>6</v>
      </c>
      <c r="J90" s="4">
        <v>95.3</v>
      </c>
      <c r="K90" s="4">
        <v>169</v>
      </c>
      <c r="L90" s="4">
        <v>65.7</v>
      </c>
      <c r="M90" s="4">
        <v>49.6</v>
      </c>
      <c r="N90" s="4">
        <v>2380</v>
      </c>
      <c r="O90" t="s">
        <v>35</v>
      </c>
      <c r="P90" t="s">
        <v>3</v>
      </c>
      <c r="Q90" s="4">
        <v>70</v>
      </c>
      <c r="R90" t="s">
        <v>36</v>
      </c>
      <c r="S90">
        <v>3.3297512440000001</v>
      </c>
      <c r="T90">
        <v>3.3</v>
      </c>
      <c r="U90">
        <v>9.4</v>
      </c>
      <c r="V90" s="4">
        <v>101</v>
      </c>
      <c r="W90">
        <v>6000</v>
      </c>
      <c r="X90">
        <v>17</v>
      </c>
      <c r="Y90">
        <v>23</v>
      </c>
      <c r="Z90" s="4">
        <v>11845</v>
      </c>
    </row>
    <row r="91" spans="1:26" x14ac:dyDescent="0.35">
      <c r="A91">
        <v>0</v>
      </c>
      <c r="B91" s="4">
        <v>85</v>
      </c>
      <c r="C91" s="6" t="s">
        <v>54</v>
      </c>
      <c r="D91" s="6" t="s">
        <v>1</v>
      </c>
      <c r="E91" t="s">
        <v>20</v>
      </c>
      <c r="F91" t="s">
        <v>8</v>
      </c>
      <c r="G91" t="s">
        <v>19</v>
      </c>
      <c r="H91" t="s">
        <v>17</v>
      </c>
      <c r="I91" t="s">
        <v>6</v>
      </c>
      <c r="J91" s="4">
        <v>96.9</v>
      </c>
      <c r="K91" s="4">
        <v>173.6</v>
      </c>
      <c r="L91" s="4">
        <v>65.400000000000006</v>
      </c>
      <c r="M91" s="4">
        <v>54.9</v>
      </c>
      <c r="N91" s="4">
        <v>2650</v>
      </c>
      <c r="O91" t="s">
        <v>50</v>
      </c>
      <c r="P91" t="s">
        <v>8</v>
      </c>
      <c r="Q91" s="4">
        <v>108</v>
      </c>
      <c r="R91" t="s">
        <v>9</v>
      </c>
      <c r="S91">
        <v>3.62</v>
      </c>
      <c r="T91">
        <v>2.64</v>
      </c>
      <c r="U91">
        <v>7.7</v>
      </c>
      <c r="V91" s="4">
        <v>111</v>
      </c>
      <c r="W91">
        <v>4800</v>
      </c>
      <c r="X91">
        <v>23</v>
      </c>
      <c r="Y91">
        <v>23</v>
      </c>
      <c r="Z91" s="4">
        <v>11694</v>
      </c>
    </row>
    <row r="92" spans="1:26" hidden="1" x14ac:dyDescent="0.35">
      <c r="A92">
        <v>3</v>
      </c>
      <c r="C92" s="6" t="s">
        <v>56</v>
      </c>
      <c r="D92" s="6" t="s">
        <v>1</v>
      </c>
      <c r="E92" t="s">
        <v>2</v>
      </c>
      <c r="F92" t="s">
        <v>3</v>
      </c>
      <c r="G92" t="s">
        <v>4</v>
      </c>
      <c r="H92" t="s">
        <v>15</v>
      </c>
      <c r="I92" t="s">
        <v>6</v>
      </c>
      <c r="J92" s="4">
        <v>94.5</v>
      </c>
      <c r="K92" s="4">
        <v>159.30000000000001</v>
      </c>
      <c r="L92" s="4">
        <v>64.2</v>
      </c>
      <c r="M92" s="4">
        <v>55.6</v>
      </c>
      <c r="N92" s="4">
        <v>2254</v>
      </c>
      <c r="O92" t="s">
        <v>16</v>
      </c>
      <c r="P92" t="s">
        <v>8</v>
      </c>
      <c r="Q92" s="4">
        <v>109</v>
      </c>
      <c r="R92" t="s">
        <v>9</v>
      </c>
      <c r="S92">
        <v>3.19</v>
      </c>
      <c r="T92">
        <v>3.4</v>
      </c>
      <c r="U92">
        <v>8.5</v>
      </c>
      <c r="V92" s="4">
        <v>90</v>
      </c>
      <c r="W92">
        <v>5500</v>
      </c>
      <c r="X92">
        <v>24</v>
      </c>
      <c r="Y92">
        <v>29</v>
      </c>
      <c r="Z92" s="4">
        <v>11595</v>
      </c>
    </row>
    <row r="93" spans="1:26" x14ac:dyDescent="0.35">
      <c r="A93">
        <v>2</v>
      </c>
      <c r="B93" s="4">
        <v>134</v>
      </c>
      <c r="C93" s="6" t="s">
        <v>55</v>
      </c>
      <c r="D93" s="6" t="s">
        <v>1</v>
      </c>
      <c r="E93" t="s">
        <v>2</v>
      </c>
      <c r="F93" t="s">
        <v>3</v>
      </c>
      <c r="G93" t="s">
        <v>10</v>
      </c>
      <c r="H93" t="s">
        <v>5</v>
      </c>
      <c r="I93" t="s">
        <v>6</v>
      </c>
      <c r="J93" s="4">
        <v>98.4</v>
      </c>
      <c r="K93" s="4">
        <v>176.2</v>
      </c>
      <c r="L93" s="4">
        <v>65.599999999999994</v>
      </c>
      <c r="M93" s="4">
        <v>52</v>
      </c>
      <c r="N93" s="4">
        <v>2714</v>
      </c>
      <c r="O93" t="s">
        <v>16</v>
      </c>
      <c r="P93" t="s">
        <v>8</v>
      </c>
      <c r="Q93" s="4">
        <v>146</v>
      </c>
      <c r="R93" t="s">
        <v>9</v>
      </c>
      <c r="S93">
        <v>3.62</v>
      </c>
      <c r="T93">
        <v>3.5</v>
      </c>
      <c r="U93">
        <v>9.3000000000000007</v>
      </c>
      <c r="V93" s="4">
        <v>116</v>
      </c>
      <c r="W93">
        <v>4800</v>
      </c>
      <c r="X93">
        <v>24</v>
      </c>
      <c r="Y93">
        <v>30</v>
      </c>
      <c r="Z93" s="4">
        <v>11549</v>
      </c>
    </row>
    <row r="94" spans="1:26" x14ac:dyDescent="0.35">
      <c r="A94">
        <v>0</v>
      </c>
      <c r="B94" s="4">
        <v>102</v>
      </c>
      <c r="C94" s="6" t="s">
        <v>54</v>
      </c>
      <c r="D94" s="6" t="s">
        <v>1</v>
      </c>
      <c r="E94" t="s">
        <v>20</v>
      </c>
      <c r="F94" t="s">
        <v>8</v>
      </c>
      <c r="G94" t="s">
        <v>14</v>
      </c>
      <c r="H94" t="s">
        <v>17</v>
      </c>
      <c r="I94" t="s">
        <v>6</v>
      </c>
      <c r="J94" s="4">
        <v>97</v>
      </c>
      <c r="K94" s="4">
        <v>172</v>
      </c>
      <c r="L94" s="4">
        <v>65.400000000000006</v>
      </c>
      <c r="M94" s="4">
        <v>54.3</v>
      </c>
      <c r="N94" s="4">
        <v>2510</v>
      </c>
      <c r="O94" t="s">
        <v>50</v>
      </c>
      <c r="P94" t="s">
        <v>8</v>
      </c>
      <c r="Q94" s="4">
        <v>108</v>
      </c>
      <c r="R94" t="s">
        <v>9</v>
      </c>
      <c r="S94">
        <v>3.62</v>
      </c>
      <c r="T94">
        <v>2.64</v>
      </c>
      <c r="U94">
        <v>7.7</v>
      </c>
      <c r="V94" s="4">
        <v>111</v>
      </c>
      <c r="W94">
        <v>4800</v>
      </c>
      <c r="X94">
        <v>24</v>
      </c>
      <c r="Y94">
        <v>29</v>
      </c>
      <c r="Z94" s="4">
        <v>11259</v>
      </c>
    </row>
    <row r="95" spans="1:26" x14ac:dyDescent="0.35">
      <c r="A95">
        <v>-1</v>
      </c>
      <c r="B95" s="4">
        <v>65</v>
      </c>
      <c r="C95" s="6" t="s">
        <v>55</v>
      </c>
      <c r="D95" s="6" t="s">
        <v>1</v>
      </c>
      <c r="E95" t="s">
        <v>2</v>
      </c>
      <c r="F95" t="s">
        <v>8</v>
      </c>
      <c r="G95" t="s">
        <v>10</v>
      </c>
      <c r="H95" t="s">
        <v>15</v>
      </c>
      <c r="I95" t="s">
        <v>6</v>
      </c>
      <c r="J95" s="4">
        <v>102.4</v>
      </c>
      <c r="K95" s="4">
        <v>175.6</v>
      </c>
      <c r="L95" s="4">
        <v>66.5</v>
      </c>
      <c r="M95" s="4">
        <v>53.9</v>
      </c>
      <c r="N95" s="4">
        <v>2458</v>
      </c>
      <c r="O95" t="s">
        <v>16</v>
      </c>
      <c r="P95" t="s">
        <v>8</v>
      </c>
      <c r="Q95" s="4">
        <v>122</v>
      </c>
      <c r="R95" t="s">
        <v>9</v>
      </c>
      <c r="S95">
        <v>3.31</v>
      </c>
      <c r="T95">
        <v>3.54</v>
      </c>
      <c r="U95">
        <v>8.6999999999999993</v>
      </c>
      <c r="V95" s="4">
        <v>92</v>
      </c>
      <c r="W95">
        <v>4200</v>
      </c>
      <c r="X95">
        <v>27</v>
      </c>
      <c r="Y95">
        <v>32</v>
      </c>
      <c r="Z95" s="4">
        <v>11248</v>
      </c>
    </row>
    <row r="96" spans="1:26" x14ac:dyDescent="0.35">
      <c r="A96">
        <v>0</v>
      </c>
      <c r="B96" s="4">
        <v>115</v>
      </c>
      <c r="C96" s="6" t="s">
        <v>34</v>
      </c>
      <c r="D96" s="6" t="s">
        <v>1</v>
      </c>
      <c r="E96" t="s">
        <v>2</v>
      </c>
      <c r="F96" t="s">
        <v>8</v>
      </c>
      <c r="G96" t="s">
        <v>10</v>
      </c>
      <c r="H96" t="s">
        <v>15</v>
      </c>
      <c r="I96" t="s">
        <v>6</v>
      </c>
      <c r="J96" s="4">
        <v>98.8</v>
      </c>
      <c r="K96" s="4">
        <v>177.8</v>
      </c>
      <c r="L96" s="4">
        <v>66.5</v>
      </c>
      <c r="M96" s="4">
        <v>55.5</v>
      </c>
      <c r="N96" s="4">
        <v>2425</v>
      </c>
      <c r="O96" t="s">
        <v>16</v>
      </c>
      <c r="P96" t="s">
        <v>8</v>
      </c>
      <c r="Q96" s="4">
        <v>122</v>
      </c>
      <c r="R96" t="s">
        <v>25</v>
      </c>
      <c r="S96">
        <v>3.39</v>
      </c>
      <c r="T96">
        <v>3.39</v>
      </c>
      <c r="U96">
        <v>8.6</v>
      </c>
      <c r="V96" s="4">
        <v>84</v>
      </c>
      <c r="W96">
        <v>4800</v>
      </c>
      <c r="X96">
        <v>26</v>
      </c>
      <c r="Y96">
        <v>32</v>
      </c>
      <c r="Z96" s="4">
        <v>11245</v>
      </c>
    </row>
    <row r="97" spans="1:26" x14ac:dyDescent="0.35">
      <c r="A97">
        <v>2</v>
      </c>
      <c r="B97" s="4">
        <v>134</v>
      </c>
      <c r="C97" s="6" t="s">
        <v>55</v>
      </c>
      <c r="D97" s="6" t="s">
        <v>1</v>
      </c>
      <c r="E97" t="s">
        <v>2</v>
      </c>
      <c r="F97" t="s">
        <v>3</v>
      </c>
      <c r="G97" t="s">
        <v>40</v>
      </c>
      <c r="H97" t="s">
        <v>5</v>
      </c>
      <c r="I97" t="s">
        <v>6</v>
      </c>
      <c r="J97" s="4">
        <v>98.4</v>
      </c>
      <c r="K97" s="4">
        <v>176.2</v>
      </c>
      <c r="L97" s="4">
        <v>65.599999999999994</v>
      </c>
      <c r="M97" s="4">
        <v>52</v>
      </c>
      <c r="N97" s="4">
        <v>2679</v>
      </c>
      <c r="O97" t="s">
        <v>16</v>
      </c>
      <c r="P97" t="s">
        <v>8</v>
      </c>
      <c r="Q97" s="4">
        <v>146</v>
      </c>
      <c r="R97" t="s">
        <v>9</v>
      </c>
      <c r="S97">
        <v>3.62</v>
      </c>
      <c r="T97">
        <v>3.5</v>
      </c>
      <c r="U97">
        <v>9.3000000000000007</v>
      </c>
      <c r="V97" s="4">
        <v>116</v>
      </c>
      <c r="W97">
        <v>4800</v>
      </c>
      <c r="X97">
        <v>24</v>
      </c>
      <c r="Y97">
        <v>30</v>
      </c>
      <c r="Z97" s="4">
        <v>11199</v>
      </c>
    </row>
    <row r="98" spans="1:26" hidden="1" x14ac:dyDescent="0.35">
      <c r="A98">
        <v>2</v>
      </c>
      <c r="C98" s="6" t="s">
        <v>30</v>
      </c>
      <c r="D98" s="6" t="s">
        <v>1</v>
      </c>
      <c r="E98" t="s">
        <v>2</v>
      </c>
      <c r="F98" t="s">
        <v>3</v>
      </c>
      <c r="G98" t="s">
        <v>10</v>
      </c>
      <c r="H98" t="s">
        <v>5</v>
      </c>
      <c r="I98" t="s">
        <v>6</v>
      </c>
      <c r="J98" s="4">
        <v>96</v>
      </c>
      <c r="K98" s="4">
        <v>172.6</v>
      </c>
      <c r="L98" s="4">
        <v>65.2</v>
      </c>
      <c r="M98" s="4">
        <v>51.4</v>
      </c>
      <c r="N98" s="4">
        <v>2734</v>
      </c>
      <c r="O98" t="s">
        <v>16</v>
      </c>
      <c r="P98" t="s">
        <v>8</v>
      </c>
      <c r="Q98" s="4">
        <v>119</v>
      </c>
      <c r="R98" t="s">
        <v>31</v>
      </c>
      <c r="S98">
        <v>3.43</v>
      </c>
      <c r="T98">
        <v>3.23</v>
      </c>
      <c r="U98">
        <v>9.1999999999999993</v>
      </c>
      <c r="V98" s="4">
        <v>90</v>
      </c>
      <c r="W98">
        <v>5000</v>
      </c>
      <c r="X98">
        <v>24</v>
      </c>
      <c r="Y98">
        <v>29</v>
      </c>
      <c r="Z98" s="4">
        <v>11048</v>
      </c>
    </row>
    <row r="99" spans="1:26" x14ac:dyDescent="0.35">
      <c r="A99">
        <v>3</v>
      </c>
      <c r="B99" s="4">
        <v>150</v>
      </c>
      <c r="C99" s="6" t="s">
        <v>34</v>
      </c>
      <c r="D99" s="6" t="s">
        <v>1</v>
      </c>
      <c r="E99" t="s">
        <v>2</v>
      </c>
      <c r="F99" t="s">
        <v>3</v>
      </c>
      <c r="G99" t="s">
        <v>10</v>
      </c>
      <c r="H99" t="s">
        <v>5</v>
      </c>
      <c r="I99" t="s">
        <v>6</v>
      </c>
      <c r="J99" s="4">
        <v>95.3</v>
      </c>
      <c r="K99" s="4">
        <v>169</v>
      </c>
      <c r="L99" s="4">
        <v>65.7</v>
      </c>
      <c r="M99" s="4">
        <v>49.6</v>
      </c>
      <c r="N99" s="4">
        <v>2380</v>
      </c>
      <c r="O99" t="s">
        <v>35</v>
      </c>
      <c r="P99" t="s">
        <v>3</v>
      </c>
      <c r="Q99" s="4">
        <v>70</v>
      </c>
      <c r="R99" t="s">
        <v>36</v>
      </c>
      <c r="S99">
        <v>3.3297512440000001</v>
      </c>
      <c r="T99">
        <v>3.3</v>
      </c>
      <c r="U99">
        <v>9.4</v>
      </c>
      <c r="V99" s="4">
        <v>101</v>
      </c>
      <c r="W99">
        <v>6000</v>
      </c>
      <c r="X99">
        <v>17</v>
      </c>
      <c r="Y99">
        <v>23</v>
      </c>
      <c r="Z99" s="4">
        <v>10945</v>
      </c>
    </row>
    <row r="100" spans="1:26" x14ac:dyDescent="0.35">
      <c r="A100">
        <v>-1</v>
      </c>
      <c r="B100" s="4">
        <v>65</v>
      </c>
      <c r="C100" s="6" t="s">
        <v>55</v>
      </c>
      <c r="D100" s="6" t="s">
        <v>1</v>
      </c>
      <c r="E100" t="s">
        <v>2</v>
      </c>
      <c r="F100" t="s">
        <v>8</v>
      </c>
      <c r="G100" t="s">
        <v>14</v>
      </c>
      <c r="H100" t="s">
        <v>15</v>
      </c>
      <c r="I100" t="s">
        <v>6</v>
      </c>
      <c r="J100" s="4">
        <v>102.4</v>
      </c>
      <c r="K100" s="4">
        <v>175.6</v>
      </c>
      <c r="L100" s="4">
        <v>66.5</v>
      </c>
      <c r="M100" s="4">
        <v>54.9</v>
      </c>
      <c r="N100" s="4">
        <v>2414</v>
      </c>
      <c r="O100" t="s">
        <v>16</v>
      </c>
      <c r="P100" t="s">
        <v>8</v>
      </c>
      <c r="Q100" s="4">
        <v>122</v>
      </c>
      <c r="R100" t="s">
        <v>9</v>
      </c>
      <c r="S100">
        <v>3.31</v>
      </c>
      <c r="T100">
        <v>3.54</v>
      </c>
      <c r="U100">
        <v>8.6999999999999993</v>
      </c>
      <c r="V100" s="4">
        <v>92</v>
      </c>
      <c r="W100">
        <v>4200</v>
      </c>
      <c r="X100">
        <v>27</v>
      </c>
      <c r="Y100">
        <v>32</v>
      </c>
      <c r="Z100" s="4">
        <v>10898</v>
      </c>
    </row>
    <row r="101" spans="1:26" hidden="1" x14ac:dyDescent="0.35">
      <c r="A101">
        <v>0</v>
      </c>
      <c r="C101" s="6" t="s">
        <v>34</v>
      </c>
      <c r="D101" s="6" t="s">
        <v>37</v>
      </c>
      <c r="E101" t="s">
        <v>2</v>
      </c>
      <c r="G101" t="s">
        <v>14</v>
      </c>
      <c r="H101" t="s">
        <v>15</v>
      </c>
      <c r="I101" t="s">
        <v>6</v>
      </c>
      <c r="J101" s="4">
        <v>98.8</v>
      </c>
      <c r="K101" s="4">
        <v>177.8</v>
      </c>
      <c r="L101" s="4">
        <v>66.5</v>
      </c>
      <c r="M101" s="4">
        <v>55.5</v>
      </c>
      <c r="N101" s="4">
        <v>2443</v>
      </c>
      <c r="O101" t="s">
        <v>16</v>
      </c>
      <c r="P101" t="s">
        <v>8</v>
      </c>
      <c r="Q101" s="4">
        <v>122</v>
      </c>
      <c r="R101" t="s">
        <v>38</v>
      </c>
      <c r="S101">
        <v>3.39</v>
      </c>
      <c r="T101">
        <v>3.39</v>
      </c>
      <c r="U101">
        <v>22.7</v>
      </c>
      <c r="V101" s="4">
        <v>64</v>
      </c>
      <c r="W101">
        <v>4650</v>
      </c>
      <c r="X101">
        <v>36</v>
      </c>
      <c r="Y101">
        <v>42</v>
      </c>
      <c r="Z101" s="4">
        <v>10795</v>
      </c>
    </row>
    <row r="102" spans="1:26" x14ac:dyDescent="0.35">
      <c r="A102">
        <v>-1</v>
      </c>
      <c r="B102" s="4">
        <v>65</v>
      </c>
      <c r="C102" s="6" t="s">
        <v>55</v>
      </c>
      <c r="D102" s="6" t="s">
        <v>37</v>
      </c>
      <c r="E102" t="s">
        <v>20</v>
      </c>
      <c r="F102" t="s">
        <v>8</v>
      </c>
      <c r="G102" t="s">
        <v>14</v>
      </c>
      <c r="H102" t="s">
        <v>15</v>
      </c>
      <c r="I102" t="s">
        <v>6</v>
      </c>
      <c r="J102" s="4">
        <v>102.4</v>
      </c>
      <c r="K102" s="4">
        <v>175.6</v>
      </c>
      <c r="L102" s="4">
        <v>66.5</v>
      </c>
      <c r="M102" s="4">
        <v>54.9</v>
      </c>
      <c r="N102" s="4">
        <v>2480</v>
      </c>
      <c r="O102" t="s">
        <v>16</v>
      </c>
      <c r="P102" t="s">
        <v>8</v>
      </c>
      <c r="Q102" s="4">
        <v>110</v>
      </c>
      <c r="R102" t="s">
        <v>38</v>
      </c>
      <c r="S102">
        <v>3.27</v>
      </c>
      <c r="T102">
        <v>3.35</v>
      </c>
      <c r="U102">
        <v>22.5</v>
      </c>
      <c r="V102" s="4">
        <v>73</v>
      </c>
      <c r="W102">
        <v>4500</v>
      </c>
      <c r="X102">
        <v>30</v>
      </c>
      <c r="Y102">
        <v>33</v>
      </c>
      <c r="Z102" s="4">
        <v>10698</v>
      </c>
    </row>
    <row r="103" spans="1:26" x14ac:dyDescent="0.35">
      <c r="A103">
        <v>1</v>
      </c>
      <c r="B103" s="4">
        <v>129</v>
      </c>
      <c r="C103" s="6" t="s">
        <v>34</v>
      </c>
      <c r="D103" s="6" t="s">
        <v>1</v>
      </c>
      <c r="E103" t="s">
        <v>2</v>
      </c>
      <c r="F103" t="s">
        <v>3</v>
      </c>
      <c r="G103" t="s">
        <v>10</v>
      </c>
      <c r="H103" t="s">
        <v>15</v>
      </c>
      <c r="I103" t="s">
        <v>6</v>
      </c>
      <c r="J103" s="4">
        <v>98.8</v>
      </c>
      <c r="K103" s="4">
        <v>177.8</v>
      </c>
      <c r="L103" s="4">
        <v>66.5</v>
      </c>
      <c r="M103" s="4">
        <v>53.7</v>
      </c>
      <c r="N103" s="4">
        <v>2385</v>
      </c>
      <c r="O103" t="s">
        <v>16</v>
      </c>
      <c r="P103" t="s">
        <v>8</v>
      </c>
      <c r="Q103" s="4">
        <v>122</v>
      </c>
      <c r="R103" t="s">
        <v>25</v>
      </c>
      <c r="S103">
        <v>3.39</v>
      </c>
      <c r="T103">
        <v>3.39</v>
      </c>
      <c r="U103">
        <v>8.6</v>
      </c>
      <c r="V103" s="4">
        <v>84</v>
      </c>
      <c r="W103">
        <v>4800</v>
      </c>
      <c r="X103">
        <v>26</v>
      </c>
      <c r="Y103">
        <v>32</v>
      </c>
      <c r="Z103" s="4">
        <v>10595</v>
      </c>
    </row>
    <row r="104" spans="1:26" x14ac:dyDescent="0.35">
      <c r="A104">
        <v>1</v>
      </c>
      <c r="B104" s="4">
        <v>107</v>
      </c>
      <c r="C104" s="6" t="s">
        <v>28</v>
      </c>
      <c r="D104" s="6" t="s">
        <v>1</v>
      </c>
      <c r="E104" t="s">
        <v>2</v>
      </c>
      <c r="F104" t="s">
        <v>3</v>
      </c>
      <c r="G104" t="s">
        <v>14</v>
      </c>
      <c r="H104" t="s">
        <v>15</v>
      </c>
      <c r="I104" t="s">
        <v>6</v>
      </c>
      <c r="J104" s="4">
        <v>96.5</v>
      </c>
      <c r="K104" s="4">
        <v>169.1</v>
      </c>
      <c r="L104" s="4">
        <v>66</v>
      </c>
      <c r="M104" s="4">
        <v>51</v>
      </c>
      <c r="N104" s="4">
        <v>2293</v>
      </c>
      <c r="O104" t="s">
        <v>16</v>
      </c>
      <c r="P104" t="s">
        <v>8</v>
      </c>
      <c r="Q104" s="4">
        <v>110</v>
      </c>
      <c r="R104" t="s">
        <v>25</v>
      </c>
      <c r="S104">
        <v>3.15</v>
      </c>
      <c r="T104">
        <v>3.58</v>
      </c>
      <c r="U104">
        <v>9.1</v>
      </c>
      <c r="V104" s="4">
        <v>100</v>
      </c>
      <c r="W104">
        <v>5500</v>
      </c>
      <c r="X104">
        <v>25</v>
      </c>
      <c r="Y104">
        <v>31</v>
      </c>
      <c r="Z104" s="4">
        <v>10345</v>
      </c>
    </row>
    <row r="105" spans="1:26" x14ac:dyDescent="0.35">
      <c r="A105">
        <v>0</v>
      </c>
      <c r="B105" s="4">
        <v>85</v>
      </c>
      <c r="C105" s="6" t="s">
        <v>28</v>
      </c>
      <c r="D105" s="6" t="s">
        <v>1</v>
      </c>
      <c r="E105" t="s">
        <v>2</v>
      </c>
      <c r="F105" t="s">
        <v>8</v>
      </c>
      <c r="G105" t="s">
        <v>14</v>
      </c>
      <c r="H105" t="s">
        <v>15</v>
      </c>
      <c r="I105" t="s">
        <v>6</v>
      </c>
      <c r="J105" s="4">
        <v>96.5</v>
      </c>
      <c r="K105" s="4">
        <v>175.4</v>
      </c>
      <c r="L105" s="4">
        <v>62.5</v>
      </c>
      <c r="M105" s="4">
        <v>54.1</v>
      </c>
      <c r="N105" s="4">
        <v>2372</v>
      </c>
      <c r="O105" t="s">
        <v>16</v>
      </c>
      <c r="P105" t="s">
        <v>8</v>
      </c>
      <c r="Q105" s="4">
        <v>110</v>
      </c>
      <c r="R105" t="s">
        <v>29</v>
      </c>
      <c r="S105">
        <v>3.15</v>
      </c>
      <c r="T105">
        <v>3.58</v>
      </c>
      <c r="U105">
        <v>9</v>
      </c>
      <c r="V105" s="4">
        <v>86</v>
      </c>
      <c r="W105">
        <v>5800</v>
      </c>
      <c r="X105">
        <v>27</v>
      </c>
      <c r="Y105">
        <v>33</v>
      </c>
      <c r="Z105" s="4">
        <v>10295</v>
      </c>
    </row>
    <row r="106" spans="1:26" x14ac:dyDescent="0.35">
      <c r="A106">
        <v>0</v>
      </c>
      <c r="B106" s="4">
        <v>115</v>
      </c>
      <c r="C106" s="6" t="s">
        <v>34</v>
      </c>
      <c r="D106" s="6" t="s">
        <v>1</v>
      </c>
      <c r="E106" t="s">
        <v>2</v>
      </c>
      <c r="F106" t="s">
        <v>8</v>
      </c>
      <c r="G106" t="s">
        <v>14</v>
      </c>
      <c r="H106" t="s">
        <v>15</v>
      </c>
      <c r="I106" t="s">
        <v>6</v>
      </c>
      <c r="J106" s="4">
        <v>98.8</v>
      </c>
      <c r="K106" s="4">
        <v>177.8</v>
      </c>
      <c r="L106" s="4">
        <v>66.5</v>
      </c>
      <c r="M106" s="4">
        <v>55.5</v>
      </c>
      <c r="N106" s="4">
        <v>2410</v>
      </c>
      <c r="O106" t="s">
        <v>16</v>
      </c>
      <c r="P106" t="s">
        <v>8</v>
      </c>
      <c r="Q106" s="4">
        <v>122</v>
      </c>
      <c r="R106" t="s">
        <v>25</v>
      </c>
      <c r="S106">
        <v>3.39</v>
      </c>
      <c r="T106">
        <v>3.39</v>
      </c>
      <c r="U106">
        <v>8.6</v>
      </c>
      <c r="V106" s="4">
        <v>84</v>
      </c>
      <c r="W106">
        <v>4800</v>
      </c>
      <c r="X106">
        <v>26</v>
      </c>
      <c r="Y106">
        <v>32</v>
      </c>
      <c r="Z106" s="4">
        <v>10245</v>
      </c>
    </row>
    <row r="107" spans="1:26" x14ac:dyDescent="0.35">
      <c r="A107">
        <v>0</v>
      </c>
      <c r="B107" s="4">
        <v>89</v>
      </c>
      <c r="C107" s="6" t="s">
        <v>54</v>
      </c>
      <c r="D107" s="6" t="s">
        <v>1</v>
      </c>
      <c r="E107" t="s">
        <v>2</v>
      </c>
      <c r="F107" t="s">
        <v>8</v>
      </c>
      <c r="G107" t="s">
        <v>19</v>
      </c>
      <c r="H107" t="s">
        <v>15</v>
      </c>
      <c r="I107" t="s">
        <v>6</v>
      </c>
      <c r="J107" s="4">
        <v>97</v>
      </c>
      <c r="K107" s="4">
        <v>173.5</v>
      </c>
      <c r="L107" s="4">
        <v>65.400000000000006</v>
      </c>
      <c r="M107" s="4">
        <v>53</v>
      </c>
      <c r="N107" s="4">
        <v>2455</v>
      </c>
      <c r="O107" t="s">
        <v>50</v>
      </c>
      <c r="P107" t="s">
        <v>8</v>
      </c>
      <c r="Q107" s="4">
        <v>108</v>
      </c>
      <c r="R107" t="s">
        <v>9</v>
      </c>
      <c r="S107">
        <v>3.62</v>
      </c>
      <c r="T107">
        <v>2.64</v>
      </c>
      <c r="U107">
        <v>9</v>
      </c>
      <c r="V107" s="4">
        <v>94</v>
      </c>
      <c r="W107">
        <v>5200</v>
      </c>
      <c r="X107">
        <v>25</v>
      </c>
      <c r="Y107">
        <v>31</v>
      </c>
      <c r="Z107" s="4">
        <v>10198</v>
      </c>
    </row>
    <row r="108" spans="1:26" x14ac:dyDescent="0.35">
      <c r="A108">
        <v>2</v>
      </c>
      <c r="B108" s="4">
        <v>94</v>
      </c>
      <c r="C108" s="6" t="s">
        <v>56</v>
      </c>
      <c r="D108" s="6" t="s">
        <v>1</v>
      </c>
      <c r="E108" t="s">
        <v>2</v>
      </c>
      <c r="F108" t="s">
        <v>8</v>
      </c>
      <c r="G108" t="s">
        <v>14</v>
      </c>
      <c r="H108" t="s">
        <v>15</v>
      </c>
      <c r="I108" t="s">
        <v>6</v>
      </c>
      <c r="J108" s="4">
        <v>97.3</v>
      </c>
      <c r="K108" s="4">
        <v>171.7</v>
      </c>
      <c r="L108" s="4">
        <v>65.5</v>
      </c>
      <c r="M108" s="4">
        <v>55.7</v>
      </c>
      <c r="N108" s="4">
        <v>2300</v>
      </c>
      <c r="O108" t="s">
        <v>16</v>
      </c>
      <c r="P108" t="s">
        <v>8</v>
      </c>
      <c r="Q108" s="4">
        <v>109</v>
      </c>
      <c r="R108" t="s">
        <v>9</v>
      </c>
      <c r="S108">
        <v>3.19</v>
      </c>
      <c r="T108">
        <v>3.4</v>
      </c>
      <c r="U108">
        <v>10</v>
      </c>
      <c r="V108" s="4">
        <v>100</v>
      </c>
      <c r="W108">
        <v>5500</v>
      </c>
      <c r="X108">
        <v>26</v>
      </c>
      <c r="Y108">
        <v>32</v>
      </c>
      <c r="Z108" s="4">
        <v>9995</v>
      </c>
    </row>
    <row r="109" spans="1:26" x14ac:dyDescent="0.35">
      <c r="A109">
        <v>2</v>
      </c>
      <c r="B109" s="4">
        <v>134</v>
      </c>
      <c r="C109" s="6" t="s">
        <v>55</v>
      </c>
      <c r="D109" s="6" t="s">
        <v>1</v>
      </c>
      <c r="E109" t="s">
        <v>2</v>
      </c>
      <c r="F109" t="s">
        <v>3</v>
      </c>
      <c r="G109" t="s">
        <v>10</v>
      </c>
      <c r="H109" t="s">
        <v>5</v>
      </c>
      <c r="I109" t="s">
        <v>6</v>
      </c>
      <c r="J109" s="4">
        <v>98.4</v>
      </c>
      <c r="K109" s="4">
        <v>176.2</v>
      </c>
      <c r="L109" s="4">
        <v>65.599999999999994</v>
      </c>
      <c r="M109" s="4">
        <v>52</v>
      </c>
      <c r="N109" s="4">
        <v>2551</v>
      </c>
      <c r="O109" t="s">
        <v>16</v>
      </c>
      <c r="P109" t="s">
        <v>8</v>
      </c>
      <c r="Q109" s="4">
        <v>146</v>
      </c>
      <c r="R109" t="s">
        <v>9</v>
      </c>
      <c r="S109">
        <v>3.62</v>
      </c>
      <c r="T109">
        <v>3.5</v>
      </c>
      <c r="U109">
        <v>9.3000000000000007</v>
      </c>
      <c r="V109" s="4">
        <v>116</v>
      </c>
      <c r="W109">
        <v>4800</v>
      </c>
      <c r="X109">
        <v>24</v>
      </c>
      <c r="Y109">
        <v>30</v>
      </c>
      <c r="Z109" s="4">
        <v>9989</v>
      </c>
    </row>
    <row r="110" spans="1:26" x14ac:dyDescent="0.35">
      <c r="A110">
        <v>-1</v>
      </c>
      <c r="B110" s="4">
        <v>65</v>
      </c>
      <c r="C110" s="6" t="s">
        <v>55</v>
      </c>
      <c r="D110" s="6" t="s">
        <v>1</v>
      </c>
      <c r="E110" t="s">
        <v>2</v>
      </c>
      <c r="F110" t="s">
        <v>8</v>
      </c>
      <c r="G110" t="s">
        <v>10</v>
      </c>
      <c r="H110" t="s">
        <v>15</v>
      </c>
      <c r="I110" t="s">
        <v>6</v>
      </c>
      <c r="J110" s="4">
        <v>102.4</v>
      </c>
      <c r="K110" s="4">
        <v>175.6</v>
      </c>
      <c r="L110" s="4">
        <v>66.5</v>
      </c>
      <c r="M110" s="4">
        <v>53.9</v>
      </c>
      <c r="N110" s="4">
        <v>2414</v>
      </c>
      <c r="O110" t="s">
        <v>16</v>
      </c>
      <c r="P110" t="s">
        <v>8</v>
      </c>
      <c r="Q110" s="4">
        <v>122</v>
      </c>
      <c r="R110" t="s">
        <v>9</v>
      </c>
      <c r="S110">
        <v>3.31</v>
      </c>
      <c r="T110">
        <v>3.54</v>
      </c>
      <c r="U110">
        <v>8.6999999999999993</v>
      </c>
      <c r="V110" s="4">
        <v>92</v>
      </c>
      <c r="W110">
        <v>4200</v>
      </c>
      <c r="X110">
        <v>27</v>
      </c>
      <c r="Y110">
        <v>32</v>
      </c>
      <c r="Z110" s="4">
        <v>9988</v>
      </c>
    </row>
    <row r="111" spans="1:26" x14ac:dyDescent="0.35">
      <c r="A111">
        <v>3</v>
      </c>
      <c r="B111" s="4">
        <v>256</v>
      </c>
      <c r="C111" s="6" t="s">
        <v>56</v>
      </c>
      <c r="D111" s="6" t="s">
        <v>1</v>
      </c>
      <c r="E111" t="s">
        <v>2</v>
      </c>
      <c r="F111" t="s">
        <v>3</v>
      </c>
      <c r="G111" t="s">
        <v>10</v>
      </c>
      <c r="H111" t="s">
        <v>15</v>
      </c>
      <c r="I111" t="s">
        <v>6</v>
      </c>
      <c r="J111" s="4">
        <v>94.5</v>
      </c>
      <c r="K111" s="4">
        <v>165.7</v>
      </c>
      <c r="L111" s="4">
        <v>64</v>
      </c>
      <c r="M111" s="4">
        <v>51.4</v>
      </c>
      <c r="N111" s="4">
        <v>2221</v>
      </c>
      <c r="O111" t="s">
        <v>16</v>
      </c>
      <c r="P111" t="s">
        <v>8</v>
      </c>
      <c r="Q111" s="4">
        <v>109</v>
      </c>
      <c r="R111" t="s">
        <v>9</v>
      </c>
      <c r="S111">
        <v>3.19</v>
      </c>
      <c r="T111">
        <v>3.4</v>
      </c>
      <c r="U111">
        <v>8.5</v>
      </c>
      <c r="V111" s="4">
        <v>90</v>
      </c>
      <c r="W111">
        <v>5500</v>
      </c>
      <c r="X111">
        <v>24</v>
      </c>
      <c r="Y111">
        <v>29</v>
      </c>
      <c r="Z111" s="4">
        <v>9980</v>
      </c>
    </row>
    <row r="112" spans="1:26" x14ac:dyDescent="0.35">
      <c r="A112">
        <v>0</v>
      </c>
      <c r="B112" s="4">
        <v>102</v>
      </c>
      <c r="C112" s="6" t="s">
        <v>54</v>
      </c>
      <c r="D112" s="6" t="s">
        <v>1</v>
      </c>
      <c r="E112" t="s">
        <v>2</v>
      </c>
      <c r="F112" t="s">
        <v>8</v>
      </c>
      <c r="G112" t="s">
        <v>14</v>
      </c>
      <c r="H112" t="s">
        <v>15</v>
      </c>
      <c r="I112" t="s">
        <v>6</v>
      </c>
      <c r="J112" s="4">
        <v>97.2</v>
      </c>
      <c r="K112" s="4">
        <v>172</v>
      </c>
      <c r="L112" s="4">
        <v>65.400000000000006</v>
      </c>
      <c r="M112" s="4">
        <v>52.5</v>
      </c>
      <c r="N112" s="4">
        <v>2340</v>
      </c>
      <c r="O112" t="s">
        <v>50</v>
      </c>
      <c r="P112" t="s">
        <v>8</v>
      </c>
      <c r="Q112" s="4">
        <v>108</v>
      </c>
      <c r="R112" t="s">
        <v>9</v>
      </c>
      <c r="S112">
        <v>3.62</v>
      </c>
      <c r="T112">
        <v>2.64</v>
      </c>
      <c r="U112">
        <v>9</v>
      </c>
      <c r="V112" s="4">
        <v>94</v>
      </c>
      <c r="W112">
        <v>5200</v>
      </c>
      <c r="X112">
        <v>26</v>
      </c>
      <c r="Y112">
        <v>32</v>
      </c>
      <c r="Z112" s="4">
        <v>9960</v>
      </c>
    </row>
    <row r="113" spans="1:26" x14ac:dyDescent="0.35">
      <c r="A113">
        <v>3</v>
      </c>
      <c r="B113" s="4">
        <v>153</v>
      </c>
      <c r="C113" s="6" t="s">
        <v>43</v>
      </c>
      <c r="D113" s="6" t="s">
        <v>1</v>
      </c>
      <c r="E113" t="s">
        <v>20</v>
      </c>
      <c r="F113" t="s">
        <v>3</v>
      </c>
      <c r="G113" t="s">
        <v>10</v>
      </c>
      <c r="H113" t="s">
        <v>15</v>
      </c>
      <c r="I113" t="s">
        <v>6</v>
      </c>
      <c r="J113" s="4">
        <v>96.3</v>
      </c>
      <c r="K113" s="4">
        <v>173</v>
      </c>
      <c r="L113" s="4">
        <v>65.400000000000006</v>
      </c>
      <c r="M113" s="4">
        <v>49.4</v>
      </c>
      <c r="N113" s="4">
        <v>2370</v>
      </c>
      <c r="O113" t="s">
        <v>16</v>
      </c>
      <c r="P113" t="s">
        <v>8</v>
      </c>
      <c r="Q113" s="4">
        <v>110</v>
      </c>
      <c r="R113" t="s">
        <v>44</v>
      </c>
      <c r="S113">
        <v>3.17</v>
      </c>
      <c r="T113">
        <v>3.46</v>
      </c>
      <c r="U113">
        <v>7.5</v>
      </c>
      <c r="V113" s="4">
        <v>116</v>
      </c>
      <c r="W113">
        <v>5500</v>
      </c>
      <c r="X113">
        <v>23</v>
      </c>
      <c r="Y113">
        <v>30</v>
      </c>
      <c r="Z113" s="4">
        <v>9959</v>
      </c>
    </row>
    <row r="114" spans="1:26" hidden="1" x14ac:dyDescent="0.35">
      <c r="A114">
        <v>2</v>
      </c>
      <c r="C114" s="6" t="s">
        <v>52</v>
      </c>
      <c r="D114" s="6" t="s">
        <v>1</v>
      </c>
      <c r="E114" t="s">
        <v>2</v>
      </c>
      <c r="F114" t="s">
        <v>3</v>
      </c>
      <c r="G114" t="s">
        <v>10</v>
      </c>
      <c r="H114" t="s">
        <v>15</v>
      </c>
      <c r="I114" t="s">
        <v>6</v>
      </c>
      <c r="J114" s="4">
        <v>96.1</v>
      </c>
      <c r="K114" s="4">
        <v>176.8</v>
      </c>
      <c r="L114" s="4">
        <v>66.599999999999994</v>
      </c>
      <c r="M114" s="4">
        <v>50.5</v>
      </c>
      <c r="N114" s="4">
        <v>2460</v>
      </c>
      <c r="O114" t="s">
        <v>16</v>
      </c>
      <c r="P114" t="s">
        <v>8</v>
      </c>
      <c r="Q114" s="4">
        <v>132</v>
      </c>
      <c r="R114" t="s">
        <v>9</v>
      </c>
      <c r="S114">
        <v>3.46</v>
      </c>
      <c r="T114">
        <v>3.9</v>
      </c>
      <c r="U114">
        <v>8.6999999999999993</v>
      </c>
      <c r="X114">
        <v>23</v>
      </c>
      <c r="Y114">
        <v>31</v>
      </c>
      <c r="Z114" s="4">
        <v>9895</v>
      </c>
    </row>
    <row r="115" spans="1:26" x14ac:dyDescent="0.35">
      <c r="A115">
        <v>2</v>
      </c>
      <c r="B115" s="4">
        <v>134</v>
      </c>
      <c r="C115" s="6" t="s">
        <v>55</v>
      </c>
      <c r="D115" s="6" t="s">
        <v>1</v>
      </c>
      <c r="E115" t="s">
        <v>2</v>
      </c>
      <c r="F115" t="s">
        <v>3</v>
      </c>
      <c r="G115" t="s">
        <v>40</v>
      </c>
      <c r="H115" t="s">
        <v>5</v>
      </c>
      <c r="I115" t="s">
        <v>6</v>
      </c>
      <c r="J115" s="4">
        <v>98.4</v>
      </c>
      <c r="K115" s="4">
        <v>176.2</v>
      </c>
      <c r="L115" s="4">
        <v>65.599999999999994</v>
      </c>
      <c r="M115" s="4">
        <v>52</v>
      </c>
      <c r="N115" s="4">
        <v>2536</v>
      </c>
      <c r="O115" t="s">
        <v>16</v>
      </c>
      <c r="P115" t="s">
        <v>8</v>
      </c>
      <c r="Q115" s="4">
        <v>146</v>
      </c>
      <c r="R115" t="s">
        <v>9</v>
      </c>
      <c r="S115">
        <v>3.62</v>
      </c>
      <c r="T115">
        <v>3.5</v>
      </c>
      <c r="U115">
        <v>9.3000000000000007</v>
      </c>
      <c r="V115" s="4">
        <v>116</v>
      </c>
      <c r="W115">
        <v>4800</v>
      </c>
      <c r="X115">
        <v>24</v>
      </c>
      <c r="Y115">
        <v>30</v>
      </c>
      <c r="Z115" s="4">
        <v>9639</v>
      </c>
    </row>
    <row r="116" spans="1:26" x14ac:dyDescent="0.35">
      <c r="A116">
        <v>0</v>
      </c>
      <c r="B116" s="4">
        <v>106</v>
      </c>
      <c r="C116" s="6" t="s">
        <v>45</v>
      </c>
      <c r="D116" s="6" t="s">
        <v>1</v>
      </c>
      <c r="E116" t="s">
        <v>2</v>
      </c>
      <c r="F116" t="s">
        <v>8</v>
      </c>
      <c r="G116" t="s">
        <v>14</v>
      </c>
      <c r="H116" t="s">
        <v>15</v>
      </c>
      <c r="I116" t="s">
        <v>6</v>
      </c>
      <c r="J116" s="4">
        <v>97.2</v>
      </c>
      <c r="K116" s="4">
        <v>173.4</v>
      </c>
      <c r="L116" s="4">
        <v>65.2</v>
      </c>
      <c r="M116" s="4">
        <v>54.7</v>
      </c>
      <c r="N116" s="4">
        <v>2302</v>
      </c>
      <c r="O116" t="s">
        <v>16</v>
      </c>
      <c r="P116" t="s">
        <v>8</v>
      </c>
      <c r="Q116" s="4">
        <v>120</v>
      </c>
      <c r="R116" t="s">
        <v>25</v>
      </c>
      <c r="S116">
        <v>3.33</v>
      </c>
      <c r="T116">
        <v>3.47</v>
      </c>
      <c r="U116">
        <v>8.5</v>
      </c>
      <c r="V116" s="4">
        <v>97</v>
      </c>
      <c r="W116">
        <v>5200</v>
      </c>
      <c r="X116">
        <v>27</v>
      </c>
      <c r="Y116">
        <v>34</v>
      </c>
      <c r="Z116" s="4">
        <v>9549</v>
      </c>
    </row>
    <row r="117" spans="1:26" x14ac:dyDescent="0.35">
      <c r="A117">
        <v>1</v>
      </c>
      <c r="B117" s="4">
        <v>168</v>
      </c>
      <c r="C117" s="6" t="s">
        <v>55</v>
      </c>
      <c r="D117" s="6" t="s">
        <v>1</v>
      </c>
      <c r="E117" t="s">
        <v>2</v>
      </c>
      <c r="F117" t="s">
        <v>3</v>
      </c>
      <c r="G117" t="s">
        <v>10</v>
      </c>
      <c r="H117" t="s">
        <v>5</v>
      </c>
      <c r="I117" t="s">
        <v>6</v>
      </c>
      <c r="J117" s="4">
        <v>94.5</v>
      </c>
      <c r="K117" s="4">
        <v>168.7</v>
      </c>
      <c r="L117" s="4">
        <v>64</v>
      </c>
      <c r="M117" s="4">
        <v>52.6</v>
      </c>
      <c r="N117" s="4">
        <v>2300</v>
      </c>
      <c r="O117" t="s">
        <v>7</v>
      </c>
      <c r="P117" t="s">
        <v>8</v>
      </c>
      <c r="Q117" s="4">
        <v>98</v>
      </c>
      <c r="R117" t="s">
        <v>9</v>
      </c>
      <c r="S117">
        <v>3.24</v>
      </c>
      <c r="T117">
        <v>3.08</v>
      </c>
      <c r="U117">
        <v>9.4</v>
      </c>
      <c r="V117" s="4">
        <v>112</v>
      </c>
      <c r="W117">
        <v>6600</v>
      </c>
      <c r="X117">
        <v>26</v>
      </c>
      <c r="Y117">
        <v>29</v>
      </c>
      <c r="Z117" s="4">
        <v>9538</v>
      </c>
    </row>
    <row r="118" spans="1:26" x14ac:dyDescent="0.35">
      <c r="A118">
        <v>2</v>
      </c>
      <c r="B118" s="4">
        <v>94</v>
      </c>
      <c r="C118" s="6" t="s">
        <v>56</v>
      </c>
      <c r="D118" s="6" t="s">
        <v>37</v>
      </c>
      <c r="E118" t="s">
        <v>20</v>
      </c>
      <c r="F118" t="s">
        <v>8</v>
      </c>
      <c r="G118" t="s">
        <v>14</v>
      </c>
      <c r="H118" t="s">
        <v>15</v>
      </c>
      <c r="I118" t="s">
        <v>6</v>
      </c>
      <c r="J118" s="4">
        <v>97.3</v>
      </c>
      <c r="K118" s="4">
        <v>171.7</v>
      </c>
      <c r="L118" s="4">
        <v>65.5</v>
      </c>
      <c r="M118" s="4">
        <v>55.7</v>
      </c>
      <c r="N118" s="4">
        <v>2319</v>
      </c>
      <c r="O118" t="s">
        <v>16</v>
      </c>
      <c r="P118" t="s">
        <v>8</v>
      </c>
      <c r="Q118" s="4">
        <v>97</v>
      </c>
      <c r="R118" t="s">
        <v>38</v>
      </c>
      <c r="S118">
        <v>3.01</v>
      </c>
      <c r="T118">
        <v>3.4</v>
      </c>
      <c r="U118">
        <v>23</v>
      </c>
      <c r="V118" s="4">
        <v>68</v>
      </c>
      <c r="W118">
        <v>4500</v>
      </c>
      <c r="X118">
        <v>37</v>
      </c>
      <c r="Y118">
        <v>42</v>
      </c>
      <c r="Z118" s="4">
        <v>9495</v>
      </c>
    </row>
    <row r="119" spans="1:26" x14ac:dyDescent="0.35">
      <c r="A119">
        <v>1</v>
      </c>
      <c r="B119" s="4">
        <v>168</v>
      </c>
      <c r="C119" s="6" t="s">
        <v>55</v>
      </c>
      <c r="D119" s="6" t="s">
        <v>1</v>
      </c>
      <c r="E119" t="s">
        <v>2</v>
      </c>
      <c r="F119" t="s">
        <v>3</v>
      </c>
      <c r="G119" t="s">
        <v>14</v>
      </c>
      <c r="H119" t="s">
        <v>5</v>
      </c>
      <c r="I119" t="s">
        <v>6</v>
      </c>
      <c r="J119" s="4">
        <v>94.5</v>
      </c>
      <c r="K119" s="4">
        <v>168.7</v>
      </c>
      <c r="L119" s="4">
        <v>64</v>
      </c>
      <c r="M119" s="4">
        <v>52.6</v>
      </c>
      <c r="N119" s="4">
        <v>2265</v>
      </c>
      <c r="O119" t="s">
        <v>7</v>
      </c>
      <c r="P119" t="s">
        <v>8</v>
      </c>
      <c r="Q119" s="4">
        <v>98</v>
      </c>
      <c r="R119" t="s">
        <v>9</v>
      </c>
      <c r="S119">
        <v>3.24</v>
      </c>
      <c r="T119">
        <v>3.08</v>
      </c>
      <c r="U119">
        <v>9.4</v>
      </c>
      <c r="V119" s="4">
        <v>112</v>
      </c>
      <c r="W119">
        <v>6600</v>
      </c>
      <c r="X119">
        <v>26</v>
      </c>
      <c r="Y119">
        <v>29</v>
      </c>
      <c r="Z119" s="4">
        <v>9298</v>
      </c>
    </row>
    <row r="120" spans="1:26" hidden="1" x14ac:dyDescent="0.35">
      <c r="A120">
        <v>0</v>
      </c>
      <c r="C120" s="6" t="s">
        <v>52</v>
      </c>
      <c r="D120" s="6" t="s">
        <v>1</v>
      </c>
      <c r="E120" t="s">
        <v>2</v>
      </c>
      <c r="F120" t="s">
        <v>8</v>
      </c>
      <c r="G120" t="s">
        <v>19</v>
      </c>
      <c r="H120" t="s">
        <v>15</v>
      </c>
      <c r="I120" t="s">
        <v>6</v>
      </c>
      <c r="J120" s="4">
        <v>96.1</v>
      </c>
      <c r="K120" s="4">
        <v>181.5</v>
      </c>
      <c r="L120" s="4">
        <v>66.5</v>
      </c>
      <c r="M120" s="4">
        <v>55.2</v>
      </c>
      <c r="N120" s="4">
        <v>2579</v>
      </c>
      <c r="O120" t="s">
        <v>16</v>
      </c>
      <c r="P120" t="s">
        <v>8</v>
      </c>
      <c r="Q120" s="4">
        <v>132</v>
      </c>
      <c r="R120" t="s">
        <v>9</v>
      </c>
      <c r="S120">
        <v>3.46</v>
      </c>
      <c r="T120">
        <v>3.9</v>
      </c>
      <c r="U120">
        <v>8.6999999999999993</v>
      </c>
      <c r="X120">
        <v>23</v>
      </c>
      <c r="Y120">
        <v>31</v>
      </c>
      <c r="Z120" s="4">
        <v>9295</v>
      </c>
    </row>
    <row r="121" spans="1:26" x14ac:dyDescent="0.35">
      <c r="A121">
        <v>1</v>
      </c>
      <c r="B121" s="4">
        <v>125</v>
      </c>
      <c r="C121" s="6" t="s">
        <v>43</v>
      </c>
      <c r="D121" s="6" t="s">
        <v>1</v>
      </c>
      <c r="E121" t="s">
        <v>20</v>
      </c>
      <c r="F121" t="s">
        <v>8</v>
      </c>
      <c r="G121" t="s">
        <v>14</v>
      </c>
      <c r="H121" t="s">
        <v>15</v>
      </c>
      <c r="I121" t="s">
        <v>6</v>
      </c>
      <c r="J121" s="4">
        <v>96.3</v>
      </c>
      <c r="K121" s="4">
        <v>172.4</v>
      </c>
      <c r="L121" s="4">
        <v>65.400000000000006</v>
      </c>
      <c r="M121" s="4">
        <v>51.6</v>
      </c>
      <c r="N121" s="4">
        <v>2403</v>
      </c>
      <c r="O121" t="s">
        <v>16</v>
      </c>
      <c r="P121" t="s">
        <v>8</v>
      </c>
      <c r="Q121" s="4">
        <v>110</v>
      </c>
      <c r="R121" t="s">
        <v>44</v>
      </c>
      <c r="S121">
        <v>3.17</v>
      </c>
      <c r="T121">
        <v>3.46</v>
      </c>
      <c r="U121">
        <v>7.5</v>
      </c>
      <c r="V121" s="4">
        <v>116</v>
      </c>
      <c r="W121">
        <v>5500</v>
      </c>
      <c r="X121">
        <v>23</v>
      </c>
      <c r="Y121">
        <v>30</v>
      </c>
      <c r="Z121" s="4">
        <v>9279</v>
      </c>
    </row>
    <row r="122" spans="1:26" x14ac:dyDescent="0.35">
      <c r="A122">
        <v>-1</v>
      </c>
      <c r="B122" s="4">
        <v>137</v>
      </c>
      <c r="C122" s="6" t="s">
        <v>43</v>
      </c>
      <c r="D122" s="6" t="s">
        <v>1</v>
      </c>
      <c r="E122" t="s">
        <v>2</v>
      </c>
      <c r="F122" t="s">
        <v>8</v>
      </c>
      <c r="G122" t="s">
        <v>14</v>
      </c>
      <c r="H122" t="s">
        <v>15</v>
      </c>
      <c r="I122" t="s">
        <v>6</v>
      </c>
      <c r="J122" s="4">
        <v>96.3</v>
      </c>
      <c r="K122" s="4">
        <v>172.4</v>
      </c>
      <c r="L122" s="4">
        <v>65.400000000000006</v>
      </c>
      <c r="M122" s="4">
        <v>51.6</v>
      </c>
      <c r="N122" s="4">
        <v>2403</v>
      </c>
      <c r="O122" t="s">
        <v>16</v>
      </c>
      <c r="P122" t="s">
        <v>8</v>
      </c>
      <c r="Q122" s="4">
        <v>110</v>
      </c>
      <c r="R122" t="s">
        <v>44</v>
      </c>
      <c r="S122">
        <v>3.17</v>
      </c>
      <c r="T122">
        <v>3.46</v>
      </c>
      <c r="U122">
        <v>7.5</v>
      </c>
      <c r="V122" s="4">
        <v>116</v>
      </c>
      <c r="W122">
        <v>5500</v>
      </c>
      <c r="X122">
        <v>23</v>
      </c>
      <c r="Y122">
        <v>30</v>
      </c>
      <c r="Z122" s="4">
        <v>9279</v>
      </c>
    </row>
    <row r="123" spans="1:26" x14ac:dyDescent="0.35">
      <c r="A123">
        <v>0</v>
      </c>
      <c r="B123" s="4">
        <v>91</v>
      </c>
      <c r="C123" s="6" t="s">
        <v>55</v>
      </c>
      <c r="D123" s="6" t="s">
        <v>1</v>
      </c>
      <c r="E123" t="s">
        <v>2</v>
      </c>
      <c r="F123" t="s">
        <v>8</v>
      </c>
      <c r="G123" t="s">
        <v>14</v>
      </c>
      <c r="H123" t="s">
        <v>15</v>
      </c>
      <c r="I123" t="s">
        <v>6</v>
      </c>
      <c r="J123" s="4">
        <v>95.7</v>
      </c>
      <c r="K123" s="4">
        <v>166.3</v>
      </c>
      <c r="L123" s="4">
        <v>64.400000000000006</v>
      </c>
      <c r="M123" s="4">
        <v>52.8</v>
      </c>
      <c r="N123" s="4">
        <v>2140</v>
      </c>
      <c r="O123" t="s">
        <v>16</v>
      </c>
      <c r="P123" t="s">
        <v>8</v>
      </c>
      <c r="Q123" s="4">
        <v>98</v>
      </c>
      <c r="R123" t="s">
        <v>25</v>
      </c>
      <c r="S123">
        <v>3.19</v>
      </c>
      <c r="T123">
        <v>3.03</v>
      </c>
      <c r="U123">
        <v>9</v>
      </c>
      <c r="V123" s="4">
        <v>70</v>
      </c>
      <c r="W123">
        <v>4800</v>
      </c>
      <c r="X123">
        <v>28</v>
      </c>
      <c r="Y123">
        <v>34</v>
      </c>
      <c r="Z123" s="4">
        <v>9258</v>
      </c>
    </row>
    <row r="124" spans="1:26" x14ac:dyDescent="0.35">
      <c r="A124">
        <v>0</v>
      </c>
      <c r="B124" s="4">
        <v>102</v>
      </c>
      <c r="C124" s="6" t="s">
        <v>54</v>
      </c>
      <c r="D124" s="6" t="s">
        <v>1</v>
      </c>
      <c r="E124" t="s">
        <v>2</v>
      </c>
      <c r="F124" t="s">
        <v>8</v>
      </c>
      <c r="G124" t="s">
        <v>14</v>
      </c>
      <c r="H124" t="s">
        <v>17</v>
      </c>
      <c r="I124" t="s">
        <v>6</v>
      </c>
      <c r="J124" s="4">
        <v>97</v>
      </c>
      <c r="K124" s="4">
        <v>172</v>
      </c>
      <c r="L124" s="4">
        <v>65.400000000000006</v>
      </c>
      <c r="M124" s="4">
        <v>54.3</v>
      </c>
      <c r="N124" s="4">
        <v>2385</v>
      </c>
      <c r="O124" t="s">
        <v>50</v>
      </c>
      <c r="P124" t="s">
        <v>8</v>
      </c>
      <c r="Q124" s="4">
        <v>108</v>
      </c>
      <c r="R124" t="s">
        <v>25</v>
      </c>
      <c r="S124">
        <v>3.62</v>
      </c>
      <c r="T124">
        <v>2.64</v>
      </c>
      <c r="U124">
        <v>9</v>
      </c>
      <c r="V124" s="4">
        <v>82</v>
      </c>
      <c r="W124">
        <v>4800</v>
      </c>
      <c r="X124">
        <v>24</v>
      </c>
      <c r="Y124">
        <v>25</v>
      </c>
      <c r="Z124" s="4">
        <v>9233</v>
      </c>
    </row>
    <row r="125" spans="1:26" x14ac:dyDescent="0.35">
      <c r="A125">
        <v>0</v>
      </c>
      <c r="B125" s="4">
        <v>106</v>
      </c>
      <c r="C125" s="6" t="s">
        <v>28</v>
      </c>
      <c r="D125" s="6" t="s">
        <v>1</v>
      </c>
      <c r="E125" t="s">
        <v>2</v>
      </c>
      <c r="F125" t="s">
        <v>3</v>
      </c>
      <c r="G125" t="s">
        <v>10</v>
      </c>
      <c r="H125" t="s">
        <v>15</v>
      </c>
      <c r="I125" t="s">
        <v>6</v>
      </c>
      <c r="J125" s="4">
        <v>96.5</v>
      </c>
      <c r="K125" s="4">
        <v>167.5</v>
      </c>
      <c r="L125" s="4">
        <v>65.2</v>
      </c>
      <c r="M125" s="4">
        <v>53.3</v>
      </c>
      <c r="N125" s="4">
        <v>2289</v>
      </c>
      <c r="O125" t="s">
        <v>16</v>
      </c>
      <c r="P125" t="s">
        <v>8</v>
      </c>
      <c r="Q125" s="4">
        <v>110</v>
      </c>
      <c r="R125" t="s">
        <v>29</v>
      </c>
      <c r="S125">
        <v>3.15</v>
      </c>
      <c r="T125">
        <v>3.58</v>
      </c>
      <c r="U125">
        <v>9</v>
      </c>
      <c r="V125" s="4">
        <v>86</v>
      </c>
      <c r="W125">
        <v>5800</v>
      </c>
      <c r="X125">
        <v>27</v>
      </c>
      <c r="Y125">
        <v>33</v>
      </c>
      <c r="Z125" s="4">
        <v>9095</v>
      </c>
    </row>
    <row r="126" spans="1:26" x14ac:dyDescent="0.35">
      <c r="A126">
        <v>0</v>
      </c>
      <c r="B126" s="4">
        <v>106</v>
      </c>
      <c r="C126" s="6" t="s">
        <v>45</v>
      </c>
      <c r="D126" s="6" t="s">
        <v>1</v>
      </c>
      <c r="E126" t="s">
        <v>2</v>
      </c>
      <c r="F126" t="s">
        <v>8</v>
      </c>
      <c r="G126" t="s">
        <v>10</v>
      </c>
      <c r="H126" t="s">
        <v>15</v>
      </c>
      <c r="I126" t="s">
        <v>6</v>
      </c>
      <c r="J126" s="4">
        <v>97.2</v>
      </c>
      <c r="K126" s="4">
        <v>173.4</v>
      </c>
      <c r="L126" s="4">
        <v>65.2</v>
      </c>
      <c r="M126" s="4">
        <v>54.7</v>
      </c>
      <c r="N126" s="4">
        <v>2324</v>
      </c>
      <c r="O126" t="s">
        <v>16</v>
      </c>
      <c r="P126" t="s">
        <v>8</v>
      </c>
      <c r="Q126" s="4">
        <v>120</v>
      </c>
      <c r="R126" t="s">
        <v>25</v>
      </c>
      <c r="S126">
        <v>3.33</v>
      </c>
      <c r="T126">
        <v>3.47</v>
      </c>
      <c r="U126">
        <v>8.5</v>
      </c>
      <c r="V126" s="4">
        <v>97</v>
      </c>
      <c r="W126">
        <v>5200</v>
      </c>
      <c r="X126">
        <v>27</v>
      </c>
      <c r="Y126">
        <v>34</v>
      </c>
      <c r="Z126" s="4">
        <v>8949</v>
      </c>
    </row>
    <row r="127" spans="1:26" x14ac:dyDescent="0.35">
      <c r="A127">
        <v>-1</v>
      </c>
      <c r="B127" s="4">
        <v>65</v>
      </c>
      <c r="C127" s="6" t="s">
        <v>55</v>
      </c>
      <c r="D127" s="6" t="s">
        <v>1</v>
      </c>
      <c r="E127" t="s">
        <v>2</v>
      </c>
      <c r="F127" t="s">
        <v>8</v>
      </c>
      <c r="G127" t="s">
        <v>14</v>
      </c>
      <c r="H127" t="s">
        <v>15</v>
      </c>
      <c r="I127" t="s">
        <v>6</v>
      </c>
      <c r="J127" s="4">
        <v>102.4</v>
      </c>
      <c r="K127" s="4">
        <v>175.6</v>
      </c>
      <c r="L127" s="4">
        <v>66.5</v>
      </c>
      <c r="M127" s="4">
        <v>54.9</v>
      </c>
      <c r="N127" s="4">
        <v>2326</v>
      </c>
      <c r="O127" t="s">
        <v>16</v>
      </c>
      <c r="P127" t="s">
        <v>8</v>
      </c>
      <c r="Q127" s="4">
        <v>122</v>
      </c>
      <c r="R127" t="s">
        <v>9</v>
      </c>
      <c r="S127">
        <v>3.31</v>
      </c>
      <c r="T127">
        <v>3.54</v>
      </c>
      <c r="U127">
        <v>8.6999999999999993</v>
      </c>
      <c r="V127" s="4">
        <v>92</v>
      </c>
      <c r="W127">
        <v>4200</v>
      </c>
      <c r="X127">
        <v>29</v>
      </c>
      <c r="Y127">
        <v>34</v>
      </c>
      <c r="Z127" s="4">
        <v>8948</v>
      </c>
    </row>
    <row r="128" spans="1:26" x14ac:dyDescent="0.35">
      <c r="A128">
        <v>-1</v>
      </c>
      <c r="B128" s="4">
        <v>110</v>
      </c>
      <c r="C128" s="6" t="s">
        <v>26</v>
      </c>
      <c r="D128" s="6" t="s">
        <v>1</v>
      </c>
      <c r="E128" t="s">
        <v>2</v>
      </c>
      <c r="F128" t="s">
        <v>8</v>
      </c>
      <c r="G128" t="s">
        <v>19</v>
      </c>
      <c r="H128" t="s">
        <v>15</v>
      </c>
      <c r="I128" t="s">
        <v>6</v>
      </c>
      <c r="J128" s="4">
        <v>103.3</v>
      </c>
      <c r="K128" s="4">
        <v>174.6</v>
      </c>
      <c r="L128" s="4">
        <v>64.599999999999994</v>
      </c>
      <c r="M128" s="4">
        <v>59.8</v>
      </c>
      <c r="N128" s="4">
        <v>2535</v>
      </c>
      <c r="O128" t="s">
        <v>16</v>
      </c>
      <c r="P128" t="s">
        <v>8</v>
      </c>
      <c r="Q128" s="4">
        <v>122</v>
      </c>
      <c r="R128" t="s">
        <v>25</v>
      </c>
      <c r="S128">
        <v>3.34</v>
      </c>
      <c r="T128">
        <v>3.46</v>
      </c>
      <c r="U128">
        <v>8.5</v>
      </c>
      <c r="V128" s="4">
        <v>88</v>
      </c>
      <c r="W128">
        <v>5000</v>
      </c>
      <c r="X128">
        <v>24</v>
      </c>
      <c r="Y128">
        <v>30</v>
      </c>
      <c r="Z128" s="4">
        <v>8921</v>
      </c>
    </row>
    <row r="129" spans="1:26" x14ac:dyDescent="0.35">
      <c r="A129">
        <v>-1</v>
      </c>
      <c r="B129" s="4">
        <v>74</v>
      </c>
      <c r="C129" s="6" t="s">
        <v>47</v>
      </c>
      <c r="D129" s="6" t="s">
        <v>1</v>
      </c>
      <c r="E129" t="s">
        <v>2</v>
      </c>
      <c r="F129" t="s">
        <v>8</v>
      </c>
      <c r="G129" t="s">
        <v>19</v>
      </c>
      <c r="H129" t="s">
        <v>15</v>
      </c>
      <c r="I129" t="s">
        <v>6</v>
      </c>
      <c r="J129" s="4">
        <v>103.3</v>
      </c>
      <c r="K129" s="4">
        <v>174.6</v>
      </c>
      <c r="L129" s="4">
        <v>64.599999999999994</v>
      </c>
      <c r="M129" s="4">
        <v>59.8</v>
      </c>
      <c r="N129" s="4">
        <v>2535</v>
      </c>
      <c r="O129" t="s">
        <v>16</v>
      </c>
      <c r="P129" t="s">
        <v>8</v>
      </c>
      <c r="Q129" s="4">
        <v>122</v>
      </c>
      <c r="R129" t="s">
        <v>25</v>
      </c>
      <c r="S129">
        <v>3.35</v>
      </c>
      <c r="T129">
        <v>3.46</v>
      </c>
      <c r="U129">
        <v>8.5</v>
      </c>
      <c r="V129" s="4">
        <v>88</v>
      </c>
      <c r="W129">
        <v>5000</v>
      </c>
      <c r="X129">
        <v>24</v>
      </c>
      <c r="Y129">
        <v>30</v>
      </c>
      <c r="Z129" s="4">
        <v>8921</v>
      </c>
    </row>
    <row r="130" spans="1:26" x14ac:dyDescent="0.35">
      <c r="A130">
        <v>0</v>
      </c>
      <c r="B130" s="4">
        <v>85</v>
      </c>
      <c r="C130" s="6" t="s">
        <v>28</v>
      </c>
      <c r="D130" s="6" t="s">
        <v>1</v>
      </c>
      <c r="E130" t="s">
        <v>2</v>
      </c>
      <c r="F130" t="s">
        <v>8</v>
      </c>
      <c r="G130" t="s">
        <v>14</v>
      </c>
      <c r="H130" t="s">
        <v>15</v>
      </c>
      <c r="I130" t="s">
        <v>6</v>
      </c>
      <c r="J130" s="4">
        <v>96.5</v>
      </c>
      <c r="K130" s="4">
        <v>175.4</v>
      </c>
      <c r="L130" s="4">
        <v>65.2</v>
      </c>
      <c r="M130" s="4">
        <v>54.1</v>
      </c>
      <c r="N130" s="4">
        <v>2304</v>
      </c>
      <c r="O130" t="s">
        <v>16</v>
      </c>
      <c r="P130" t="s">
        <v>8</v>
      </c>
      <c r="Q130" s="4">
        <v>110</v>
      </c>
      <c r="R130" t="s">
        <v>29</v>
      </c>
      <c r="S130">
        <v>3.15</v>
      </c>
      <c r="T130">
        <v>3.58</v>
      </c>
      <c r="U130">
        <v>9</v>
      </c>
      <c r="V130" s="4">
        <v>86</v>
      </c>
      <c r="W130">
        <v>5800</v>
      </c>
      <c r="X130">
        <v>27</v>
      </c>
      <c r="Y130">
        <v>33</v>
      </c>
      <c r="Z130" s="4">
        <v>8845</v>
      </c>
    </row>
    <row r="131" spans="1:26" hidden="1" x14ac:dyDescent="0.35">
      <c r="A131">
        <v>1</v>
      </c>
      <c r="C131" s="6" t="s">
        <v>48</v>
      </c>
      <c r="D131" s="6" t="s">
        <v>1</v>
      </c>
      <c r="E131" t="s">
        <v>2</v>
      </c>
      <c r="F131" t="s">
        <v>3</v>
      </c>
      <c r="G131" t="s">
        <v>10</v>
      </c>
      <c r="H131" t="s">
        <v>5</v>
      </c>
      <c r="I131" t="s">
        <v>6</v>
      </c>
      <c r="J131" s="4">
        <v>98.4</v>
      </c>
      <c r="K131" s="4">
        <v>175.7</v>
      </c>
      <c r="L131" s="4">
        <v>72.3</v>
      </c>
      <c r="M131" s="4">
        <v>50.5</v>
      </c>
      <c r="N131" s="4">
        <v>3366</v>
      </c>
      <c r="O131" t="s">
        <v>51</v>
      </c>
      <c r="P131" t="s">
        <v>41</v>
      </c>
      <c r="Q131" s="4">
        <v>203</v>
      </c>
      <c r="R131" t="s">
        <v>9</v>
      </c>
      <c r="S131">
        <v>3.94</v>
      </c>
      <c r="T131">
        <v>3.11</v>
      </c>
      <c r="U131">
        <v>10</v>
      </c>
      <c r="V131" s="4">
        <v>288</v>
      </c>
      <c r="W131">
        <v>5750</v>
      </c>
      <c r="X131">
        <v>17</v>
      </c>
      <c r="Y131">
        <v>28</v>
      </c>
    </row>
    <row r="132" spans="1:26" x14ac:dyDescent="0.35">
      <c r="A132">
        <v>1</v>
      </c>
      <c r="B132" s="4">
        <v>129</v>
      </c>
      <c r="C132" s="6" t="s">
        <v>34</v>
      </c>
      <c r="D132" s="6" t="s">
        <v>1</v>
      </c>
      <c r="E132" t="s">
        <v>2</v>
      </c>
      <c r="F132" t="s">
        <v>3</v>
      </c>
      <c r="G132" t="s">
        <v>10</v>
      </c>
      <c r="H132" t="s">
        <v>15</v>
      </c>
      <c r="I132" t="s">
        <v>6</v>
      </c>
      <c r="J132" s="4">
        <v>98.8</v>
      </c>
      <c r="K132" s="4">
        <v>177.8</v>
      </c>
      <c r="L132" s="4">
        <v>66.5</v>
      </c>
      <c r="M132" s="4">
        <v>53.7</v>
      </c>
      <c r="N132" s="4">
        <v>2385</v>
      </c>
      <c r="O132" t="s">
        <v>16</v>
      </c>
      <c r="P132" t="s">
        <v>8</v>
      </c>
      <c r="Q132" s="4">
        <v>122</v>
      </c>
      <c r="R132" t="s">
        <v>25</v>
      </c>
      <c r="S132">
        <v>3.39</v>
      </c>
      <c r="T132">
        <v>3.39</v>
      </c>
      <c r="U132">
        <v>8.6</v>
      </c>
      <c r="V132" s="4">
        <v>84</v>
      </c>
      <c r="W132">
        <v>4800</v>
      </c>
      <c r="X132">
        <v>26</v>
      </c>
      <c r="Y132">
        <v>32</v>
      </c>
      <c r="Z132" s="4">
        <v>8845</v>
      </c>
    </row>
    <row r="133" spans="1:26" x14ac:dyDescent="0.35">
      <c r="A133">
        <v>0</v>
      </c>
      <c r="B133" s="4">
        <v>91</v>
      </c>
      <c r="C133" s="6" t="s">
        <v>55</v>
      </c>
      <c r="D133" s="6" t="s">
        <v>1</v>
      </c>
      <c r="E133" t="s">
        <v>2</v>
      </c>
      <c r="F133" t="s">
        <v>8</v>
      </c>
      <c r="G133" t="s">
        <v>19</v>
      </c>
      <c r="H133" t="s">
        <v>17</v>
      </c>
      <c r="I133" t="s">
        <v>6</v>
      </c>
      <c r="J133" s="4">
        <v>95.7</v>
      </c>
      <c r="K133" s="4">
        <v>169.7</v>
      </c>
      <c r="L133" s="4">
        <v>63.6</v>
      </c>
      <c r="M133" s="4">
        <v>59.1</v>
      </c>
      <c r="N133" s="4">
        <v>3110</v>
      </c>
      <c r="O133" t="s">
        <v>16</v>
      </c>
      <c r="P133" t="s">
        <v>8</v>
      </c>
      <c r="Q133" s="4">
        <v>92</v>
      </c>
      <c r="R133" t="s">
        <v>25</v>
      </c>
      <c r="S133">
        <v>3.05</v>
      </c>
      <c r="T133">
        <v>3.03</v>
      </c>
      <c r="U133">
        <v>9</v>
      </c>
      <c r="V133" s="4">
        <v>62</v>
      </c>
      <c r="W133">
        <v>4800</v>
      </c>
      <c r="X133">
        <v>27</v>
      </c>
      <c r="Y133">
        <v>32</v>
      </c>
      <c r="Z133" s="4">
        <v>8778</v>
      </c>
    </row>
    <row r="134" spans="1:26" x14ac:dyDescent="0.35">
      <c r="A134">
        <v>1</v>
      </c>
      <c r="B134" s="4">
        <v>148</v>
      </c>
      <c r="C134" s="6" t="s">
        <v>26</v>
      </c>
      <c r="D134" s="6" t="s">
        <v>1</v>
      </c>
      <c r="E134" t="s">
        <v>20</v>
      </c>
      <c r="F134" t="s">
        <v>8</v>
      </c>
      <c r="G134" t="s">
        <v>14</v>
      </c>
      <c r="H134" t="s">
        <v>15</v>
      </c>
      <c r="I134" t="s">
        <v>6</v>
      </c>
      <c r="J134" s="4">
        <v>93.7</v>
      </c>
      <c r="K134" s="4">
        <v>157.30000000000001</v>
      </c>
      <c r="L134" s="4">
        <v>63.8</v>
      </c>
      <c r="M134" s="4">
        <v>50.6</v>
      </c>
      <c r="N134" s="4">
        <v>2191</v>
      </c>
      <c r="O134" t="s">
        <v>16</v>
      </c>
      <c r="P134" t="s">
        <v>8</v>
      </c>
      <c r="Q134" s="4">
        <v>98</v>
      </c>
      <c r="R134" t="s">
        <v>9</v>
      </c>
      <c r="S134">
        <v>3.03</v>
      </c>
      <c r="T134">
        <v>3.39</v>
      </c>
      <c r="U134">
        <v>7.6</v>
      </c>
      <c r="V134" s="4">
        <v>102</v>
      </c>
      <c r="W134">
        <v>5500</v>
      </c>
      <c r="X134">
        <v>24</v>
      </c>
      <c r="Y134">
        <v>30</v>
      </c>
      <c r="Z134" s="4">
        <v>8558</v>
      </c>
    </row>
    <row r="135" spans="1:26" x14ac:dyDescent="0.35">
      <c r="A135">
        <v>3</v>
      </c>
      <c r="B135" s="4">
        <v>153</v>
      </c>
      <c r="C135" s="6" t="s">
        <v>43</v>
      </c>
      <c r="D135" s="6" t="s">
        <v>1</v>
      </c>
      <c r="E135" t="s">
        <v>2</v>
      </c>
      <c r="F135" t="s">
        <v>3</v>
      </c>
      <c r="G135" t="s">
        <v>10</v>
      </c>
      <c r="H135" t="s">
        <v>15</v>
      </c>
      <c r="I135" t="s">
        <v>6</v>
      </c>
      <c r="J135" s="4">
        <v>96.3</v>
      </c>
      <c r="K135" s="4">
        <v>173</v>
      </c>
      <c r="L135" s="4">
        <v>65.400000000000006</v>
      </c>
      <c r="M135" s="4">
        <v>49.4</v>
      </c>
      <c r="N135" s="4">
        <v>2328</v>
      </c>
      <c r="O135" t="s">
        <v>16</v>
      </c>
      <c r="P135" t="s">
        <v>8</v>
      </c>
      <c r="Q135" s="4">
        <v>122</v>
      </c>
      <c r="R135" t="s">
        <v>25</v>
      </c>
      <c r="S135">
        <v>3.35</v>
      </c>
      <c r="T135">
        <v>3.46</v>
      </c>
      <c r="U135">
        <v>8.5</v>
      </c>
      <c r="V135" s="4">
        <v>88</v>
      </c>
      <c r="W135">
        <v>5000</v>
      </c>
      <c r="X135">
        <v>25</v>
      </c>
      <c r="Y135">
        <v>32</v>
      </c>
      <c r="Z135" s="4">
        <v>8499</v>
      </c>
    </row>
    <row r="136" spans="1:26" x14ac:dyDescent="0.35">
      <c r="A136">
        <v>0</v>
      </c>
      <c r="B136" s="4">
        <v>115</v>
      </c>
      <c r="C136" s="6" t="s">
        <v>34</v>
      </c>
      <c r="D136" s="6" t="s">
        <v>1</v>
      </c>
      <c r="E136" t="s">
        <v>2</v>
      </c>
      <c r="F136" t="s">
        <v>8</v>
      </c>
      <c r="G136" t="s">
        <v>14</v>
      </c>
      <c r="H136" t="s">
        <v>15</v>
      </c>
      <c r="I136" t="s">
        <v>6</v>
      </c>
      <c r="J136" s="4">
        <v>98.8</v>
      </c>
      <c r="K136" s="4">
        <v>177.8</v>
      </c>
      <c r="L136" s="4">
        <v>66.5</v>
      </c>
      <c r="M136" s="4">
        <v>55.5</v>
      </c>
      <c r="N136" s="4">
        <v>2410</v>
      </c>
      <c r="O136" t="s">
        <v>16</v>
      </c>
      <c r="P136" t="s">
        <v>8</v>
      </c>
      <c r="Q136" s="4">
        <v>122</v>
      </c>
      <c r="R136" t="s">
        <v>25</v>
      </c>
      <c r="S136">
        <v>3.39</v>
      </c>
      <c r="T136">
        <v>3.39</v>
      </c>
      <c r="U136">
        <v>8.6</v>
      </c>
      <c r="V136" s="4">
        <v>84</v>
      </c>
      <c r="W136">
        <v>4800</v>
      </c>
      <c r="X136">
        <v>26</v>
      </c>
      <c r="Y136">
        <v>32</v>
      </c>
      <c r="Z136" s="4">
        <v>8495</v>
      </c>
    </row>
    <row r="137" spans="1:26" x14ac:dyDescent="0.35">
      <c r="A137">
        <v>2</v>
      </c>
      <c r="B137" s="4">
        <v>94</v>
      </c>
      <c r="C137" s="6" t="s">
        <v>56</v>
      </c>
      <c r="D137" s="6" t="s">
        <v>1</v>
      </c>
      <c r="E137" t="s">
        <v>2</v>
      </c>
      <c r="F137" t="s">
        <v>8</v>
      </c>
      <c r="G137" t="s">
        <v>14</v>
      </c>
      <c r="H137" t="s">
        <v>15</v>
      </c>
      <c r="I137" t="s">
        <v>6</v>
      </c>
      <c r="J137" s="4">
        <v>97.3</v>
      </c>
      <c r="K137" s="4">
        <v>171.7</v>
      </c>
      <c r="L137" s="4">
        <v>65.5</v>
      </c>
      <c r="M137" s="4">
        <v>55.7</v>
      </c>
      <c r="N137" s="4">
        <v>2275</v>
      </c>
      <c r="O137" t="s">
        <v>16</v>
      </c>
      <c r="P137" t="s">
        <v>8</v>
      </c>
      <c r="Q137" s="4">
        <v>109</v>
      </c>
      <c r="R137" t="s">
        <v>9</v>
      </c>
      <c r="S137">
        <v>3.19</v>
      </c>
      <c r="T137">
        <v>3.4</v>
      </c>
      <c r="U137">
        <v>9</v>
      </c>
      <c r="V137" s="4">
        <v>85</v>
      </c>
      <c r="W137">
        <v>5250</v>
      </c>
      <c r="X137">
        <v>27</v>
      </c>
      <c r="Y137">
        <v>34</v>
      </c>
      <c r="Z137" s="4">
        <v>8495</v>
      </c>
    </row>
    <row r="138" spans="1:26" x14ac:dyDescent="0.35">
      <c r="A138">
        <v>2</v>
      </c>
      <c r="B138" s="4">
        <v>134</v>
      </c>
      <c r="C138" s="6" t="s">
        <v>55</v>
      </c>
      <c r="D138" s="6" t="s">
        <v>1</v>
      </c>
      <c r="E138" t="s">
        <v>2</v>
      </c>
      <c r="F138" t="s">
        <v>3</v>
      </c>
      <c r="G138" t="s">
        <v>40</v>
      </c>
      <c r="H138" t="s">
        <v>5</v>
      </c>
      <c r="I138" t="s">
        <v>6</v>
      </c>
      <c r="J138" s="4">
        <v>98.4</v>
      </c>
      <c r="K138" s="4">
        <v>176.2</v>
      </c>
      <c r="L138" s="4">
        <v>65.599999999999994</v>
      </c>
      <c r="M138" s="4">
        <v>52</v>
      </c>
      <c r="N138" s="4">
        <v>2540</v>
      </c>
      <c r="O138" t="s">
        <v>16</v>
      </c>
      <c r="P138" t="s">
        <v>8</v>
      </c>
      <c r="Q138" s="4">
        <v>146</v>
      </c>
      <c r="R138" t="s">
        <v>9</v>
      </c>
      <c r="S138">
        <v>3.62</v>
      </c>
      <c r="T138">
        <v>3.5</v>
      </c>
      <c r="U138">
        <v>9.3000000000000007</v>
      </c>
      <c r="V138" s="4">
        <v>116</v>
      </c>
      <c r="W138">
        <v>4800</v>
      </c>
      <c r="X138">
        <v>24</v>
      </c>
      <c r="Y138">
        <v>30</v>
      </c>
      <c r="Z138" s="4">
        <v>8449</v>
      </c>
    </row>
    <row r="139" spans="1:26" x14ac:dyDescent="0.35">
      <c r="A139">
        <v>0</v>
      </c>
      <c r="B139" s="4">
        <v>91</v>
      </c>
      <c r="C139" s="6" t="s">
        <v>55</v>
      </c>
      <c r="D139" s="6" t="s">
        <v>1</v>
      </c>
      <c r="E139" t="s">
        <v>2</v>
      </c>
      <c r="F139" t="s">
        <v>8</v>
      </c>
      <c r="G139" t="s">
        <v>10</v>
      </c>
      <c r="H139" t="s">
        <v>15</v>
      </c>
      <c r="I139" t="s">
        <v>6</v>
      </c>
      <c r="J139" s="4">
        <v>95.7</v>
      </c>
      <c r="K139" s="4">
        <v>166.3</v>
      </c>
      <c r="L139" s="4">
        <v>64.400000000000006</v>
      </c>
      <c r="M139" s="4">
        <v>52.8</v>
      </c>
      <c r="N139" s="4">
        <v>2122</v>
      </c>
      <c r="O139" t="s">
        <v>16</v>
      </c>
      <c r="P139" t="s">
        <v>8</v>
      </c>
      <c r="Q139" s="4">
        <v>98</v>
      </c>
      <c r="R139" t="s">
        <v>25</v>
      </c>
      <c r="S139">
        <v>3.19</v>
      </c>
      <c r="T139">
        <v>3.03</v>
      </c>
      <c r="U139">
        <v>9</v>
      </c>
      <c r="V139" s="4">
        <v>70</v>
      </c>
      <c r="W139">
        <v>4800</v>
      </c>
      <c r="X139">
        <v>28</v>
      </c>
      <c r="Y139">
        <v>34</v>
      </c>
      <c r="Z139" s="4">
        <v>8358</v>
      </c>
    </row>
    <row r="140" spans="1:26" x14ac:dyDescent="0.35">
      <c r="A140">
        <v>2</v>
      </c>
      <c r="B140" s="4">
        <v>168</v>
      </c>
      <c r="C140" s="6" t="s">
        <v>45</v>
      </c>
      <c r="D140" s="6" t="s">
        <v>1</v>
      </c>
      <c r="E140" t="s">
        <v>2</v>
      </c>
      <c r="F140" t="s">
        <v>3</v>
      </c>
      <c r="G140" t="s">
        <v>40</v>
      </c>
      <c r="H140" t="s">
        <v>15</v>
      </c>
      <c r="I140" t="s">
        <v>6</v>
      </c>
      <c r="J140" s="4">
        <v>95.1</v>
      </c>
      <c r="K140" s="4">
        <v>162.4</v>
      </c>
      <c r="L140" s="4">
        <v>63.8</v>
      </c>
      <c r="M140" s="4">
        <v>53.3</v>
      </c>
      <c r="N140" s="4">
        <v>2008</v>
      </c>
      <c r="O140" t="s">
        <v>16</v>
      </c>
      <c r="P140" t="s">
        <v>8</v>
      </c>
      <c r="Q140" s="4">
        <v>97</v>
      </c>
      <c r="R140" t="s">
        <v>25</v>
      </c>
      <c r="S140">
        <v>3.15</v>
      </c>
      <c r="T140">
        <v>3.29</v>
      </c>
      <c r="U140">
        <v>9.4</v>
      </c>
      <c r="V140" s="4">
        <v>69</v>
      </c>
      <c r="W140">
        <v>5200</v>
      </c>
      <c r="X140">
        <v>31</v>
      </c>
      <c r="Y140">
        <v>37</v>
      </c>
      <c r="Z140" s="4">
        <v>8249</v>
      </c>
    </row>
    <row r="141" spans="1:26" x14ac:dyDescent="0.35">
      <c r="A141">
        <v>1</v>
      </c>
      <c r="B141" s="4">
        <v>168</v>
      </c>
      <c r="C141" s="6" t="s">
        <v>55</v>
      </c>
      <c r="D141" s="6" t="s">
        <v>1</v>
      </c>
      <c r="E141" t="s">
        <v>2</v>
      </c>
      <c r="F141" t="s">
        <v>3</v>
      </c>
      <c r="G141" t="s">
        <v>10</v>
      </c>
      <c r="H141" t="s">
        <v>5</v>
      </c>
      <c r="I141" t="s">
        <v>6</v>
      </c>
      <c r="J141" s="4">
        <v>94.5</v>
      </c>
      <c r="K141" s="4">
        <v>168.7</v>
      </c>
      <c r="L141" s="4">
        <v>64</v>
      </c>
      <c r="M141" s="4">
        <v>52.6</v>
      </c>
      <c r="N141" s="4">
        <v>2204</v>
      </c>
      <c r="O141" t="s">
        <v>16</v>
      </c>
      <c r="P141" t="s">
        <v>8</v>
      </c>
      <c r="Q141" s="4">
        <v>98</v>
      </c>
      <c r="R141" t="s">
        <v>25</v>
      </c>
      <c r="S141">
        <v>3.19</v>
      </c>
      <c r="T141">
        <v>3.03</v>
      </c>
      <c r="U141">
        <v>9</v>
      </c>
      <c r="V141" s="4">
        <v>70</v>
      </c>
      <c r="W141">
        <v>4800</v>
      </c>
      <c r="X141">
        <v>29</v>
      </c>
      <c r="Y141">
        <v>34</v>
      </c>
      <c r="Z141" s="4">
        <v>8238</v>
      </c>
    </row>
    <row r="142" spans="1:26" x14ac:dyDescent="0.35">
      <c r="A142">
        <v>2</v>
      </c>
      <c r="B142" s="4">
        <v>94</v>
      </c>
      <c r="C142" s="6" t="s">
        <v>56</v>
      </c>
      <c r="D142" s="6" t="s">
        <v>1</v>
      </c>
      <c r="E142" t="s">
        <v>2</v>
      </c>
      <c r="F142" t="s">
        <v>8</v>
      </c>
      <c r="G142" t="s">
        <v>14</v>
      </c>
      <c r="H142" t="s">
        <v>15</v>
      </c>
      <c r="I142" t="s">
        <v>6</v>
      </c>
      <c r="J142" s="4">
        <v>97.3</v>
      </c>
      <c r="K142" s="4">
        <v>171.7</v>
      </c>
      <c r="L142" s="4">
        <v>65.5</v>
      </c>
      <c r="M142" s="4">
        <v>55.7</v>
      </c>
      <c r="N142" s="4">
        <v>2212</v>
      </c>
      <c r="O142" t="s">
        <v>16</v>
      </c>
      <c r="P142" t="s">
        <v>8</v>
      </c>
      <c r="Q142" s="4">
        <v>109</v>
      </c>
      <c r="R142" t="s">
        <v>9</v>
      </c>
      <c r="S142">
        <v>3.19</v>
      </c>
      <c r="T142">
        <v>3.4</v>
      </c>
      <c r="U142">
        <v>9</v>
      </c>
      <c r="V142" s="4">
        <v>85</v>
      </c>
      <c r="W142">
        <v>5250</v>
      </c>
      <c r="X142">
        <v>27</v>
      </c>
      <c r="Y142">
        <v>34</v>
      </c>
      <c r="Z142" s="4">
        <v>8195</v>
      </c>
    </row>
    <row r="143" spans="1:26" x14ac:dyDescent="0.35">
      <c r="A143">
        <v>1</v>
      </c>
      <c r="B143" s="4">
        <v>125</v>
      </c>
      <c r="C143" s="6" t="s">
        <v>43</v>
      </c>
      <c r="D143" s="6" t="s">
        <v>1</v>
      </c>
      <c r="E143" t="s">
        <v>2</v>
      </c>
      <c r="F143" t="s">
        <v>8</v>
      </c>
      <c r="G143" t="s">
        <v>14</v>
      </c>
      <c r="H143" t="s">
        <v>15</v>
      </c>
      <c r="I143" t="s">
        <v>6</v>
      </c>
      <c r="J143" s="4">
        <v>96.3</v>
      </c>
      <c r="K143" s="4">
        <v>172.4</v>
      </c>
      <c r="L143" s="4">
        <v>65.400000000000006</v>
      </c>
      <c r="M143" s="4">
        <v>51.6</v>
      </c>
      <c r="N143" s="4">
        <v>2405</v>
      </c>
      <c r="O143" t="s">
        <v>16</v>
      </c>
      <c r="P143" t="s">
        <v>8</v>
      </c>
      <c r="Q143" s="4">
        <v>122</v>
      </c>
      <c r="R143" t="s">
        <v>25</v>
      </c>
      <c r="S143">
        <v>3.35</v>
      </c>
      <c r="T143">
        <v>3.46</v>
      </c>
      <c r="U143">
        <v>8.5</v>
      </c>
      <c r="V143" s="4">
        <v>88</v>
      </c>
      <c r="W143">
        <v>5000</v>
      </c>
      <c r="X143">
        <v>25</v>
      </c>
      <c r="Y143">
        <v>32</v>
      </c>
      <c r="Z143" s="4">
        <v>8189</v>
      </c>
    </row>
    <row r="144" spans="1:26" x14ac:dyDescent="0.35">
      <c r="A144">
        <v>1</v>
      </c>
      <c r="B144" s="4">
        <v>168</v>
      </c>
      <c r="C144" s="6" t="s">
        <v>55</v>
      </c>
      <c r="D144" s="6" t="s">
        <v>1</v>
      </c>
      <c r="E144" t="s">
        <v>2</v>
      </c>
      <c r="F144" t="s">
        <v>3</v>
      </c>
      <c r="G144" t="s">
        <v>14</v>
      </c>
      <c r="H144" t="s">
        <v>5</v>
      </c>
      <c r="I144" t="s">
        <v>6</v>
      </c>
      <c r="J144" s="4">
        <v>94.5</v>
      </c>
      <c r="K144" s="4">
        <v>168.7</v>
      </c>
      <c r="L144" s="4">
        <v>64</v>
      </c>
      <c r="M144" s="4">
        <v>52.6</v>
      </c>
      <c r="N144" s="4">
        <v>2169</v>
      </c>
      <c r="O144" t="s">
        <v>16</v>
      </c>
      <c r="P144" t="s">
        <v>8</v>
      </c>
      <c r="Q144" s="4">
        <v>98</v>
      </c>
      <c r="R144" t="s">
        <v>25</v>
      </c>
      <c r="S144">
        <v>3.19</v>
      </c>
      <c r="T144">
        <v>3.03</v>
      </c>
      <c r="U144">
        <v>9</v>
      </c>
      <c r="V144" s="4">
        <v>70</v>
      </c>
      <c r="W144">
        <v>4800</v>
      </c>
      <c r="X144">
        <v>29</v>
      </c>
      <c r="Y144">
        <v>34</v>
      </c>
      <c r="Z144" s="4">
        <v>8058</v>
      </c>
    </row>
    <row r="145" spans="1:26" x14ac:dyDescent="0.35">
      <c r="A145">
        <v>0</v>
      </c>
      <c r="B145" s="4">
        <v>85</v>
      </c>
      <c r="C145" s="6" t="s">
        <v>54</v>
      </c>
      <c r="D145" s="6" t="s">
        <v>1</v>
      </c>
      <c r="E145" t="s">
        <v>2</v>
      </c>
      <c r="F145" t="s">
        <v>8</v>
      </c>
      <c r="G145" t="s">
        <v>19</v>
      </c>
      <c r="H145" t="s">
        <v>17</v>
      </c>
      <c r="I145" t="s">
        <v>6</v>
      </c>
      <c r="J145" s="4">
        <v>96.9</v>
      </c>
      <c r="K145" s="4">
        <v>173.6</v>
      </c>
      <c r="L145" s="4">
        <v>65.400000000000006</v>
      </c>
      <c r="M145" s="4">
        <v>54.9</v>
      </c>
      <c r="N145" s="4">
        <v>2420</v>
      </c>
      <c r="O145" t="s">
        <v>50</v>
      </c>
      <c r="P145" t="s">
        <v>8</v>
      </c>
      <c r="Q145" s="4">
        <v>108</v>
      </c>
      <c r="R145" t="s">
        <v>25</v>
      </c>
      <c r="S145">
        <v>3.62</v>
      </c>
      <c r="T145">
        <v>2.64</v>
      </c>
      <c r="U145">
        <v>9</v>
      </c>
      <c r="V145" s="4">
        <v>82</v>
      </c>
      <c r="W145">
        <v>4800</v>
      </c>
      <c r="X145">
        <v>23</v>
      </c>
      <c r="Y145">
        <v>29</v>
      </c>
      <c r="Z145" s="4">
        <v>8013</v>
      </c>
    </row>
    <row r="146" spans="1:26" x14ac:dyDescent="0.35">
      <c r="A146">
        <v>1</v>
      </c>
      <c r="B146" s="4">
        <v>103</v>
      </c>
      <c r="C146" s="6" t="s">
        <v>45</v>
      </c>
      <c r="D146" s="6" t="s">
        <v>1</v>
      </c>
      <c r="E146" t="s">
        <v>2</v>
      </c>
      <c r="F146" t="s">
        <v>8</v>
      </c>
      <c r="G146" t="s">
        <v>19</v>
      </c>
      <c r="H146" t="s">
        <v>15</v>
      </c>
      <c r="I146" t="s">
        <v>6</v>
      </c>
      <c r="J146" s="4">
        <v>94.5</v>
      </c>
      <c r="K146" s="4">
        <v>170.2</v>
      </c>
      <c r="L146" s="4">
        <v>63.8</v>
      </c>
      <c r="M146" s="4">
        <v>53.5</v>
      </c>
      <c r="N146" s="4">
        <v>2037</v>
      </c>
      <c r="O146" t="s">
        <v>16</v>
      </c>
      <c r="P146" t="s">
        <v>8</v>
      </c>
      <c r="Q146" s="4">
        <v>97</v>
      </c>
      <c r="R146" t="s">
        <v>25</v>
      </c>
      <c r="S146">
        <v>3.15</v>
      </c>
      <c r="T146">
        <v>3.29</v>
      </c>
      <c r="U146">
        <v>9.4</v>
      </c>
      <c r="V146" s="4">
        <v>69</v>
      </c>
      <c r="W146">
        <v>5200</v>
      </c>
      <c r="X146">
        <v>31</v>
      </c>
      <c r="Y146">
        <v>37</v>
      </c>
      <c r="Z146" s="4">
        <v>7999</v>
      </c>
    </row>
    <row r="147" spans="1:26" x14ac:dyDescent="0.35">
      <c r="A147">
        <v>2</v>
      </c>
      <c r="B147" s="4">
        <v>94</v>
      </c>
      <c r="C147" s="6" t="s">
        <v>56</v>
      </c>
      <c r="D147" s="6" t="s">
        <v>37</v>
      </c>
      <c r="E147" t="s">
        <v>2</v>
      </c>
      <c r="F147" t="s">
        <v>8</v>
      </c>
      <c r="G147" t="s">
        <v>14</v>
      </c>
      <c r="H147" t="s">
        <v>15</v>
      </c>
      <c r="I147" t="s">
        <v>6</v>
      </c>
      <c r="J147" s="4">
        <v>97.3</v>
      </c>
      <c r="K147" s="4">
        <v>171.7</v>
      </c>
      <c r="L147" s="4">
        <v>65.5</v>
      </c>
      <c r="M147" s="4">
        <v>55.7</v>
      </c>
      <c r="N147" s="4">
        <v>2264</v>
      </c>
      <c r="O147" t="s">
        <v>16</v>
      </c>
      <c r="P147" t="s">
        <v>8</v>
      </c>
      <c r="Q147" s="4">
        <v>97</v>
      </c>
      <c r="R147" t="s">
        <v>38</v>
      </c>
      <c r="S147">
        <v>3.01</v>
      </c>
      <c r="T147">
        <v>3.4</v>
      </c>
      <c r="U147">
        <v>23</v>
      </c>
      <c r="V147" s="4">
        <v>52</v>
      </c>
      <c r="W147">
        <v>4800</v>
      </c>
      <c r="X147">
        <v>37</v>
      </c>
      <c r="Y147">
        <v>46</v>
      </c>
      <c r="Z147" s="4">
        <v>7995</v>
      </c>
    </row>
    <row r="148" spans="1:26" x14ac:dyDescent="0.35">
      <c r="A148">
        <v>2</v>
      </c>
      <c r="B148" s="4">
        <v>122</v>
      </c>
      <c r="C148" s="6" t="s">
        <v>56</v>
      </c>
      <c r="D148" s="6" t="s">
        <v>1</v>
      </c>
      <c r="E148" t="s">
        <v>2</v>
      </c>
      <c r="F148" t="s">
        <v>3</v>
      </c>
      <c r="G148" t="s">
        <v>14</v>
      </c>
      <c r="H148" t="s">
        <v>15</v>
      </c>
      <c r="I148" t="s">
        <v>6</v>
      </c>
      <c r="J148" s="4">
        <v>97.3</v>
      </c>
      <c r="K148" s="4">
        <v>171.7</v>
      </c>
      <c r="L148" s="4">
        <v>65.5</v>
      </c>
      <c r="M148" s="4">
        <v>55.7</v>
      </c>
      <c r="N148" s="4">
        <v>2209</v>
      </c>
      <c r="O148" t="s">
        <v>16</v>
      </c>
      <c r="P148" t="s">
        <v>8</v>
      </c>
      <c r="Q148" s="4">
        <v>109</v>
      </c>
      <c r="R148" t="s">
        <v>9</v>
      </c>
      <c r="S148">
        <v>3.19</v>
      </c>
      <c r="T148">
        <v>3.4</v>
      </c>
      <c r="U148">
        <v>9</v>
      </c>
      <c r="V148" s="4">
        <v>85</v>
      </c>
      <c r="W148">
        <v>5250</v>
      </c>
      <c r="X148">
        <v>27</v>
      </c>
      <c r="Y148">
        <v>34</v>
      </c>
      <c r="Z148" s="4">
        <v>7975</v>
      </c>
    </row>
    <row r="149" spans="1:26" x14ac:dyDescent="0.35">
      <c r="A149">
        <v>1</v>
      </c>
      <c r="B149" s="4">
        <v>118</v>
      </c>
      <c r="C149" s="6" t="s">
        <v>26</v>
      </c>
      <c r="D149" s="6" t="s">
        <v>1</v>
      </c>
      <c r="E149" t="s">
        <v>20</v>
      </c>
      <c r="F149" t="s">
        <v>3</v>
      </c>
      <c r="G149" t="s">
        <v>10</v>
      </c>
      <c r="H149" t="s">
        <v>15</v>
      </c>
      <c r="I149" t="s">
        <v>6</v>
      </c>
      <c r="J149" s="4">
        <v>93.7</v>
      </c>
      <c r="K149" s="4">
        <v>157.30000000000001</v>
      </c>
      <c r="L149" s="4">
        <v>63.8</v>
      </c>
      <c r="M149" s="4">
        <v>50.8</v>
      </c>
      <c r="N149" s="4">
        <v>2128</v>
      </c>
      <c r="O149" t="s">
        <v>16</v>
      </c>
      <c r="P149" t="s">
        <v>8</v>
      </c>
      <c r="Q149" s="4">
        <v>98</v>
      </c>
      <c r="R149" t="s">
        <v>9</v>
      </c>
      <c r="S149">
        <v>3.03</v>
      </c>
      <c r="T149">
        <v>3.39</v>
      </c>
      <c r="U149">
        <v>7.6</v>
      </c>
      <c r="V149" s="4">
        <v>102</v>
      </c>
      <c r="W149">
        <v>5500</v>
      </c>
      <c r="X149">
        <v>24</v>
      </c>
      <c r="Y149">
        <v>30</v>
      </c>
      <c r="Z149" s="4">
        <v>7957</v>
      </c>
    </row>
    <row r="150" spans="1:26" x14ac:dyDescent="0.35">
      <c r="A150">
        <v>1</v>
      </c>
      <c r="B150" s="4">
        <v>119</v>
      </c>
      <c r="C150" s="6" t="s">
        <v>47</v>
      </c>
      <c r="D150" s="6" t="s">
        <v>1</v>
      </c>
      <c r="E150" t="s">
        <v>20</v>
      </c>
      <c r="F150" t="s">
        <v>3</v>
      </c>
      <c r="G150" t="s">
        <v>10</v>
      </c>
      <c r="H150" t="s">
        <v>15</v>
      </c>
      <c r="I150" t="s">
        <v>6</v>
      </c>
      <c r="J150" s="4">
        <v>93.7</v>
      </c>
      <c r="K150" s="4">
        <v>157.30000000000001</v>
      </c>
      <c r="L150" s="4">
        <v>63.8</v>
      </c>
      <c r="M150" s="4">
        <v>50.8</v>
      </c>
      <c r="N150" s="4">
        <v>2128</v>
      </c>
      <c r="O150" t="s">
        <v>16</v>
      </c>
      <c r="P150" t="s">
        <v>8</v>
      </c>
      <c r="Q150" s="4">
        <v>98</v>
      </c>
      <c r="R150" t="s">
        <v>44</v>
      </c>
      <c r="S150">
        <v>3.03</v>
      </c>
      <c r="T150">
        <v>3.39</v>
      </c>
      <c r="U150">
        <v>7.6</v>
      </c>
      <c r="V150" s="4">
        <v>102</v>
      </c>
      <c r="W150">
        <v>5500</v>
      </c>
      <c r="X150">
        <v>24</v>
      </c>
      <c r="Y150">
        <v>30</v>
      </c>
      <c r="Z150" s="4">
        <v>7957</v>
      </c>
    </row>
    <row r="151" spans="1:26" x14ac:dyDescent="0.35">
      <c r="A151">
        <v>0</v>
      </c>
      <c r="B151" s="4">
        <v>81</v>
      </c>
      <c r="C151" s="6" t="s">
        <v>55</v>
      </c>
      <c r="D151" s="6" t="s">
        <v>1</v>
      </c>
      <c r="E151" t="s">
        <v>2</v>
      </c>
      <c r="F151" t="s">
        <v>8</v>
      </c>
      <c r="G151" t="s">
        <v>19</v>
      </c>
      <c r="H151" t="s">
        <v>17</v>
      </c>
      <c r="I151" t="s">
        <v>6</v>
      </c>
      <c r="J151" s="4">
        <v>95.7</v>
      </c>
      <c r="K151" s="4">
        <v>169.7</v>
      </c>
      <c r="L151" s="4">
        <v>63.6</v>
      </c>
      <c r="M151" s="4">
        <v>59.1</v>
      </c>
      <c r="N151" s="4">
        <v>2290</v>
      </c>
      <c r="O151" t="s">
        <v>16</v>
      </c>
      <c r="P151" t="s">
        <v>8</v>
      </c>
      <c r="Q151" s="4">
        <v>92</v>
      </c>
      <c r="R151" t="s">
        <v>25</v>
      </c>
      <c r="S151">
        <v>3.05</v>
      </c>
      <c r="T151">
        <v>3.03</v>
      </c>
      <c r="U151">
        <v>9</v>
      </c>
      <c r="V151" s="4">
        <v>62</v>
      </c>
      <c r="W151">
        <v>4800</v>
      </c>
      <c r="X151">
        <v>27</v>
      </c>
      <c r="Y151">
        <v>32</v>
      </c>
      <c r="Z151" s="4">
        <v>7898</v>
      </c>
    </row>
    <row r="152" spans="1:26" x14ac:dyDescent="0.35">
      <c r="A152">
        <v>0</v>
      </c>
      <c r="B152" s="4">
        <v>91</v>
      </c>
      <c r="C152" s="6" t="s">
        <v>55</v>
      </c>
      <c r="D152" s="6" t="s">
        <v>37</v>
      </c>
      <c r="E152" t="s">
        <v>2</v>
      </c>
      <c r="F152" t="s">
        <v>8</v>
      </c>
      <c r="G152" t="s">
        <v>14</v>
      </c>
      <c r="H152" t="s">
        <v>15</v>
      </c>
      <c r="I152" t="s">
        <v>6</v>
      </c>
      <c r="J152" s="4">
        <v>95.7</v>
      </c>
      <c r="K152" s="4">
        <v>166.3</v>
      </c>
      <c r="L152" s="4">
        <v>64.400000000000006</v>
      </c>
      <c r="M152" s="4">
        <v>53</v>
      </c>
      <c r="N152" s="4">
        <v>2275</v>
      </c>
      <c r="O152" t="s">
        <v>16</v>
      </c>
      <c r="P152" t="s">
        <v>8</v>
      </c>
      <c r="Q152" s="4">
        <v>110</v>
      </c>
      <c r="R152" t="s">
        <v>38</v>
      </c>
      <c r="S152">
        <v>3.27</v>
      </c>
      <c r="T152">
        <v>3.35</v>
      </c>
      <c r="U152">
        <v>22.5</v>
      </c>
      <c r="V152" s="4">
        <v>56</v>
      </c>
      <c r="W152">
        <v>4500</v>
      </c>
      <c r="X152">
        <v>34</v>
      </c>
      <c r="Y152">
        <v>36</v>
      </c>
      <c r="Z152" s="4">
        <v>7898</v>
      </c>
    </row>
    <row r="153" spans="1:26" x14ac:dyDescent="0.35">
      <c r="A153">
        <v>0</v>
      </c>
      <c r="B153" s="4">
        <v>106</v>
      </c>
      <c r="C153" s="6" t="s">
        <v>28</v>
      </c>
      <c r="D153" s="6" t="s">
        <v>1</v>
      </c>
      <c r="E153" t="s">
        <v>2</v>
      </c>
      <c r="F153" t="s">
        <v>3</v>
      </c>
      <c r="G153" t="s">
        <v>10</v>
      </c>
      <c r="H153" t="s">
        <v>15</v>
      </c>
      <c r="I153" t="s">
        <v>6</v>
      </c>
      <c r="J153" s="4">
        <v>96.5</v>
      </c>
      <c r="K153" s="4">
        <v>167.5</v>
      </c>
      <c r="L153" s="4">
        <v>65.2</v>
      </c>
      <c r="M153" s="4">
        <v>53.3</v>
      </c>
      <c r="N153" s="4">
        <v>2236</v>
      </c>
      <c r="O153" t="s">
        <v>16</v>
      </c>
      <c r="P153" t="s">
        <v>8</v>
      </c>
      <c r="Q153" s="4">
        <v>110</v>
      </c>
      <c r="R153" t="s">
        <v>29</v>
      </c>
      <c r="S153">
        <v>3.15</v>
      </c>
      <c r="T153">
        <v>3.58</v>
      </c>
      <c r="U153">
        <v>9</v>
      </c>
      <c r="V153" s="4">
        <v>86</v>
      </c>
      <c r="W153">
        <v>5800</v>
      </c>
      <c r="X153">
        <v>27</v>
      </c>
      <c r="Y153">
        <v>33</v>
      </c>
      <c r="Z153" s="4">
        <v>7895</v>
      </c>
    </row>
    <row r="154" spans="1:26" x14ac:dyDescent="0.35">
      <c r="A154">
        <v>1</v>
      </c>
      <c r="B154" s="4">
        <v>128</v>
      </c>
      <c r="C154" s="6" t="s">
        <v>45</v>
      </c>
      <c r="D154" s="6" t="s">
        <v>1</v>
      </c>
      <c r="E154" t="s">
        <v>2</v>
      </c>
      <c r="F154" t="s">
        <v>3</v>
      </c>
      <c r="G154" t="s">
        <v>10</v>
      </c>
      <c r="H154" t="s">
        <v>15</v>
      </c>
      <c r="I154" t="s">
        <v>6</v>
      </c>
      <c r="J154" s="4">
        <v>94.5</v>
      </c>
      <c r="K154" s="4">
        <v>165.6</v>
      </c>
      <c r="L154" s="4">
        <v>63.8</v>
      </c>
      <c r="M154" s="4">
        <v>53.3</v>
      </c>
      <c r="N154" s="4">
        <v>2028</v>
      </c>
      <c r="O154" t="s">
        <v>16</v>
      </c>
      <c r="P154" t="s">
        <v>8</v>
      </c>
      <c r="Q154" s="4">
        <v>97</v>
      </c>
      <c r="R154" t="s">
        <v>25</v>
      </c>
      <c r="S154">
        <v>3.15</v>
      </c>
      <c r="T154">
        <v>3.29</v>
      </c>
      <c r="U154">
        <v>9.4</v>
      </c>
      <c r="V154" s="4">
        <v>69</v>
      </c>
      <c r="W154">
        <v>5200</v>
      </c>
      <c r="X154">
        <v>31</v>
      </c>
      <c r="Y154">
        <v>37</v>
      </c>
      <c r="Z154" s="4">
        <v>7799</v>
      </c>
    </row>
    <row r="155" spans="1:26" x14ac:dyDescent="0.35">
      <c r="A155">
        <v>0</v>
      </c>
      <c r="B155" s="4">
        <v>91</v>
      </c>
      <c r="C155" s="6" t="s">
        <v>55</v>
      </c>
      <c r="D155" s="6" t="s">
        <v>37</v>
      </c>
      <c r="E155" t="s">
        <v>2</v>
      </c>
      <c r="F155" t="s">
        <v>8</v>
      </c>
      <c r="G155" t="s">
        <v>10</v>
      </c>
      <c r="H155" t="s">
        <v>15</v>
      </c>
      <c r="I155" t="s">
        <v>6</v>
      </c>
      <c r="J155" s="4">
        <v>95.7</v>
      </c>
      <c r="K155" s="4">
        <v>166.3</v>
      </c>
      <c r="L155" s="4">
        <v>64.400000000000006</v>
      </c>
      <c r="M155" s="4">
        <v>52.8</v>
      </c>
      <c r="N155" s="4">
        <v>2275</v>
      </c>
      <c r="O155" t="s">
        <v>16</v>
      </c>
      <c r="P155" t="s">
        <v>8</v>
      </c>
      <c r="Q155" s="4">
        <v>110</v>
      </c>
      <c r="R155" t="s">
        <v>38</v>
      </c>
      <c r="S155">
        <v>3.27</v>
      </c>
      <c r="T155">
        <v>3.35</v>
      </c>
      <c r="U155">
        <v>22.5</v>
      </c>
      <c r="V155" s="4">
        <v>56</v>
      </c>
      <c r="W155">
        <v>4500</v>
      </c>
      <c r="X155">
        <v>38</v>
      </c>
      <c r="Y155">
        <v>47</v>
      </c>
      <c r="Z155" s="4">
        <v>7788</v>
      </c>
    </row>
    <row r="156" spans="1:26" x14ac:dyDescent="0.35">
      <c r="A156">
        <v>0</v>
      </c>
      <c r="B156" s="4">
        <v>102</v>
      </c>
      <c r="C156" s="6" t="s">
        <v>54</v>
      </c>
      <c r="D156" s="6" t="s">
        <v>1</v>
      </c>
      <c r="E156" t="s">
        <v>2</v>
      </c>
      <c r="F156" t="s">
        <v>8</v>
      </c>
      <c r="G156" t="s">
        <v>14</v>
      </c>
      <c r="H156" t="s">
        <v>15</v>
      </c>
      <c r="I156" t="s">
        <v>6</v>
      </c>
      <c r="J156" s="4">
        <v>97.2</v>
      </c>
      <c r="K156" s="4">
        <v>172</v>
      </c>
      <c r="L156" s="4">
        <v>65.400000000000006</v>
      </c>
      <c r="M156" s="4">
        <v>52.5</v>
      </c>
      <c r="N156" s="4">
        <v>2190</v>
      </c>
      <c r="O156" t="s">
        <v>50</v>
      </c>
      <c r="P156" t="s">
        <v>8</v>
      </c>
      <c r="Q156" s="4">
        <v>108</v>
      </c>
      <c r="R156" t="s">
        <v>25</v>
      </c>
      <c r="S156">
        <v>3.62</v>
      </c>
      <c r="T156">
        <v>2.64</v>
      </c>
      <c r="U156">
        <v>9.5</v>
      </c>
      <c r="V156" s="4">
        <v>82</v>
      </c>
      <c r="W156">
        <v>4400</v>
      </c>
      <c r="X156">
        <v>28</v>
      </c>
      <c r="Y156">
        <v>33</v>
      </c>
      <c r="Z156" s="4">
        <v>7775</v>
      </c>
    </row>
    <row r="157" spans="1:26" x14ac:dyDescent="0.35">
      <c r="A157">
        <v>2</v>
      </c>
      <c r="B157" s="4">
        <v>122</v>
      </c>
      <c r="C157" s="6" t="s">
        <v>56</v>
      </c>
      <c r="D157" s="6" t="s">
        <v>37</v>
      </c>
      <c r="E157" t="s">
        <v>2</v>
      </c>
      <c r="F157" t="s">
        <v>3</v>
      </c>
      <c r="G157" t="s">
        <v>14</v>
      </c>
      <c r="H157" t="s">
        <v>15</v>
      </c>
      <c r="I157" t="s">
        <v>6</v>
      </c>
      <c r="J157" s="4">
        <v>97.3</v>
      </c>
      <c r="K157" s="4">
        <v>171.7</v>
      </c>
      <c r="L157" s="4">
        <v>65.5</v>
      </c>
      <c r="M157" s="4">
        <v>55.7</v>
      </c>
      <c r="N157" s="4">
        <v>2261</v>
      </c>
      <c r="O157" t="s">
        <v>16</v>
      </c>
      <c r="P157" t="s">
        <v>8</v>
      </c>
      <c r="Q157" s="4">
        <v>97</v>
      </c>
      <c r="R157" t="s">
        <v>38</v>
      </c>
      <c r="S157">
        <v>3.01</v>
      </c>
      <c r="T157">
        <v>3.4</v>
      </c>
      <c r="U157">
        <v>23</v>
      </c>
      <c r="V157" s="4">
        <v>52</v>
      </c>
      <c r="W157">
        <v>4800</v>
      </c>
      <c r="X157">
        <v>37</v>
      </c>
      <c r="Y157">
        <v>46</v>
      </c>
      <c r="Z157" s="4">
        <v>7775</v>
      </c>
    </row>
    <row r="158" spans="1:26" x14ac:dyDescent="0.35">
      <c r="A158">
        <v>0</v>
      </c>
      <c r="B158" s="4">
        <v>91</v>
      </c>
      <c r="C158" s="6" t="s">
        <v>55</v>
      </c>
      <c r="D158" s="6" t="s">
        <v>1</v>
      </c>
      <c r="E158" t="s">
        <v>2</v>
      </c>
      <c r="F158" t="s">
        <v>8</v>
      </c>
      <c r="G158" t="s">
        <v>14</v>
      </c>
      <c r="H158" t="s">
        <v>15</v>
      </c>
      <c r="I158" t="s">
        <v>6</v>
      </c>
      <c r="J158" s="4">
        <v>95.7</v>
      </c>
      <c r="K158" s="4">
        <v>166.3</v>
      </c>
      <c r="L158" s="4">
        <v>64.400000000000006</v>
      </c>
      <c r="M158" s="4">
        <v>53</v>
      </c>
      <c r="N158" s="4">
        <v>2094</v>
      </c>
      <c r="O158" t="s">
        <v>16</v>
      </c>
      <c r="P158" t="s">
        <v>8</v>
      </c>
      <c r="Q158" s="4">
        <v>98</v>
      </c>
      <c r="R158" t="s">
        <v>25</v>
      </c>
      <c r="S158">
        <v>3.19</v>
      </c>
      <c r="T158">
        <v>3.03</v>
      </c>
      <c r="U158">
        <v>9</v>
      </c>
      <c r="V158" s="4">
        <v>70</v>
      </c>
      <c r="W158">
        <v>4800</v>
      </c>
      <c r="X158">
        <v>38</v>
      </c>
      <c r="Y158">
        <v>47</v>
      </c>
      <c r="Z158" s="4">
        <v>7738</v>
      </c>
    </row>
    <row r="159" spans="1:26" x14ac:dyDescent="0.35">
      <c r="A159">
        <v>1</v>
      </c>
      <c r="B159" s="4">
        <v>161</v>
      </c>
      <c r="C159" s="6" t="s">
        <v>43</v>
      </c>
      <c r="D159" s="6" t="s">
        <v>1</v>
      </c>
      <c r="E159" t="s">
        <v>20</v>
      </c>
      <c r="F159" t="s">
        <v>3</v>
      </c>
      <c r="G159" t="s">
        <v>10</v>
      </c>
      <c r="H159" t="s">
        <v>15</v>
      </c>
      <c r="I159" t="s">
        <v>6</v>
      </c>
      <c r="J159" s="4">
        <v>93</v>
      </c>
      <c r="K159" s="4">
        <v>157.30000000000001</v>
      </c>
      <c r="L159" s="4">
        <v>63.8</v>
      </c>
      <c r="M159" s="4">
        <v>50.8</v>
      </c>
      <c r="N159" s="4">
        <v>2145</v>
      </c>
      <c r="O159" t="s">
        <v>16</v>
      </c>
      <c r="P159" t="s">
        <v>8</v>
      </c>
      <c r="Q159" s="4">
        <v>98</v>
      </c>
      <c r="R159" t="s">
        <v>44</v>
      </c>
      <c r="S159">
        <v>3.03</v>
      </c>
      <c r="T159">
        <v>3.39</v>
      </c>
      <c r="U159">
        <v>7.6</v>
      </c>
      <c r="V159" s="4">
        <v>102</v>
      </c>
      <c r="W159">
        <v>5500</v>
      </c>
      <c r="X159">
        <v>24</v>
      </c>
      <c r="Y159">
        <v>30</v>
      </c>
      <c r="Z159" s="4">
        <v>7689</v>
      </c>
    </row>
    <row r="160" spans="1:26" x14ac:dyDescent="0.35">
      <c r="A160">
        <v>1</v>
      </c>
      <c r="B160" s="4">
        <v>148</v>
      </c>
      <c r="C160" s="6" t="s">
        <v>26</v>
      </c>
      <c r="D160" s="6" t="s">
        <v>1</v>
      </c>
      <c r="E160" t="s">
        <v>2</v>
      </c>
      <c r="F160" t="s">
        <v>8</v>
      </c>
      <c r="G160" t="s">
        <v>14</v>
      </c>
      <c r="H160" t="s">
        <v>15</v>
      </c>
      <c r="I160" t="s">
        <v>6</v>
      </c>
      <c r="J160" s="4">
        <v>93.7</v>
      </c>
      <c r="K160" s="4">
        <v>157.30000000000001</v>
      </c>
      <c r="L160" s="4">
        <v>63.8</v>
      </c>
      <c r="M160" s="4">
        <v>50.6</v>
      </c>
      <c r="N160" s="4">
        <v>1989</v>
      </c>
      <c r="O160" t="s">
        <v>16</v>
      </c>
      <c r="P160" t="s">
        <v>8</v>
      </c>
      <c r="Q160" s="4">
        <v>90</v>
      </c>
      <c r="R160" t="s">
        <v>25</v>
      </c>
      <c r="S160">
        <v>2.97</v>
      </c>
      <c r="T160">
        <v>3.23</v>
      </c>
      <c r="U160">
        <v>9.4</v>
      </c>
      <c r="V160" s="4">
        <v>68</v>
      </c>
      <c r="W160">
        <v>5500</v>
      </c>
      <c r="X160">
        <v>31</v>
      </c>
      <c r="Y160">
        <v>38</v>
      </c>
      <c r="Z160" s="4">
        <v>7609</v>
      </c>
    </row>
    <row r="161" spans="1:26" x14ac:dyDescent="0.35">
      <c r="A161">
        <v>1</v>
      </c>
      <c r="B161" s="4">
        <v>154</v>
      </c>
      <c r="C161" s="6" t="s">
        <v>47</v>
      </c>
      <c r="D161" s="6" t="s">
        <v>1</v>
      </c>
      <c r="E161" t="s">
        <v>2</v>
      </c>
      <c r="F161" t="s">
        <v>8</v>
      </c>
      <c r="G161" t="s">
        <v>14</v>
      </c>
      <c r="H161" t="s">
        <v>15</v>
      </c>
      <c r="I161" t="s">
        <v>6</v>
      </c>
      <c r="J161" s="4">
        <v>93.7</v>
      </c>
      <c r="K161" s="4">
        <v>167.3</v>
      </c>
      <c r="L161" s="4">
        <v>63.8</v>
      </c>
      <c r="M161" s="4">
        <v>50.8</v>
      </c>
      <c r="N161" s="4">
        <v>2191</v>
      </c>
      <c r="O161" t="s">
        <v>16</v>
      </c>
      <c r="P161" t="s">
        <v>8</v>
      </c>
      <c r="Q161" s="4">
        <v>98</v>
      </c>
      <c r="R161" t="s">
        <v>25</v>
      </c>
      <c r="S161">
        <v>2.97</v>
      </c>
      <c r="T161">
        <v>3.23</v>
      </c>
      <c r="U161">
        <v>9.4</v>
      </c>
      <c r="V161" s="4">
        <v>68</v>
      </c>
      <c r="W161">
        <v>5500</v>
      </c>
      <c r="X161">
        <v>31</v>
      </c>
      <c r="Y161">
        <v>38</v>
      </c>
      <c r="Z161" s="4">
        <v>7609</v>
      </c>
    </row>
    <row r="162" spans="1:26" x14ac:dyDescent="0.35">
      <c r="A162">
        <v>2</v>
      </c>
      <c r="B162" s="4">
        <v>83</v>
      </c>
      <c r="C162" s="6" t="s">
        <v>54</v>
      </c>
      <c r="D162" s="6" t="s">
        <v>1</v>
      </c>
      <c r="E162" t="s">
        <v>2</v>
      </c>
      <c r="F162" t="s">
        <v>3</v>
      </c>
      <c r="G162" t="s">
        <v>10</v>
      </c>
      <c r="H162" t="s">
        <v>17</v>
      </c>
      <c r="I162" t="s">
        <v>6</v>
      </c>
      <c r="J162" s="4">
        <v>93.3</v>
      </c>
      <c r="K162" s="4">
        <v>157.30000000000001</v>
      </c>
      <c r="L162" s="4">
        <v>63.8</v>
      </c>
      <c r="M162" s="4">
        <v>55.7</v>
      </c>
      <c r="N162" s="4">
        <v>2240</v>
      </c>
      <c r="O162" t="s">
        <v>50</v>
      </c>
      <c r="P162" t="s">
        <v>8</v>
      </c>
      <c r="Q162" s="4">
        <v>108</v>
      </c>
      <c r="R162" t="s">
        <v>25</v>
      </c>
      <c r="S162">
        <v>3.62</v>
      </c>
      <c r="T162">
        <v>2.64</v>
      </c>
      <c r="U162">
        <v>8.6999999999999993</v>
      </c>
      <c r="V162" s="4">
        <v>73</v>
      </c>
      <c r="W162">
        <v>4400</v>
      </c>
      <c r="X162">
        <v>26</v>
      </c>
      <c r="Y162">
        <v>31</v>
      </c>
      <c r="Z162" s="4">
        <v>7603</v>
      </c>
    </row>
    <row r="163" spans="1:26" x14ac:dyDescent="0.35">
      <c r="A163">
        <v>1</v>
      </c>
      <c r="B163" s="4">
        <v>122</v>
      </c>
      <c r="C163" s="6" t="s">
        <v>45</v>
      </c>
      <c r="D163" s="6" t="s">
        <v>1</v>
      </c>
      <c r="E163" t="s">
        <v>2</v>
      </c>
      <c r="F163" t="s">
        <v>8</v>
      </c>
      <c r="G163" t="s">
        <v>14</v>
      </c>
      <c r="H163" t="s">
        <v>15</v>
      </c>
      <c r="I163" t="s">
        <v>6</v>
      </c>
      <c r="J163" s="4">
        <v>94.5</v>
      </c>
      <c r="K163" s="4">
        <v>165.3</v>
      </c>
      <c r="L163" s="4">
        <v>63.8</v>
      </c>
      <c r="M163" s="4">
        <v>54.5</v>
      </c>
      <c r="N163" s="4">
        <v>1971</v>
      </c>
      <c r="O163" t="s">
        <v>16</v>
      </c>
      <c r="P163" t="s">
        <v>8</v>
      </c>
      <c r="Q163" s="4">
        <v>97</v>
      </c>
      <c r="R163" t="s">
        <v>25</v>
      </c>
      <c r="S163">
        <v>3.15</v>
      </c>
      <c r="T163">
        <v>3.29</v>
      </c>
      <c r="U163">
        <v>9.4</v>
      </c>
      <c r="V163" s="4">
        <v>69</v>
      </c>
      <c r="W163">
        <v>5200</v>
      </c>
      <c r="X163">
        <v>31</v>
      </c>
      <c r="Y163">
        <v>37</v>
      </c>
      <c r="Z163" s="4">
        <v>7499</v>
      </c>
    </row>
    <row r="164" spans="1:26" x14ac:dyDescent="0.35">
      <c r="A164">
        <v>0</v>
      </c>
      <c r="B164" s="4">
        <v>89</v>
      </c>
      <c r="C164" s="6" t="s">
        <v>54</v>
      </c>
      <c r="D164" s="6" t="s">
        <v>1</v>
      </c>
      <c r="E164" t="s">
        <v>2</v>
      </c>
      <c r="F164" t="s">
        <v>8</v>
      </c>
      <c r="G164" t="s">
        <v>19</v>
      </c>
      <c r="H164" t="s">
        <v>15</v>
      </c>
      <c r="I164" t="s">
        <v>6</v>
      </c>
      <c r="J164" s="4">
        <v>97</v>
      </c>
      <c r="K164" s="4">
        <v>173.5</v>
      </c>
      <c r="L164" s="4">
        <v>65.400000000000006</v>
      </c>
      <c r="M164" s="4">
        <v>53</v>
      </c>
      <c r="N164" s="4">
        <v>2290</v>
      </c>
      <c r="O164" t="s">
        <v>50</v>
      </c>
      <c r="P164" t="s">
        <v>8</v>
      </c>
      <c r="Q164" s="4">
        <v>108</v>
      </c>
      <c r="R164" t="s">
        <v>25</v>
      </c>
      <c r="S164">
        <v>3.62</v>
      </c>
      <c r="T164">
        <v>2.64</v>
      </c>
      <c r="U164">
        <v>9</v>
      </c>
      <c r="V164" s="4">
        <v>82</v>
      </c>
      <c r="W164">
        <v>4800</v>
      </c>
      <c r="X164">
        <v>28</v>
      </c>
      <c r="Y164">
        <v>32</v>
      </c>
      <c r="Z164" s="4">
        <v>7463</v>
      </c>
    </row>
    <row r="165" spans="1:26" x14ac:dyDescent="0.35">
      <c r="A165">
        <v>1</v>
      </c>
      <c r="B165" s="4">
        <v>113</v>
      </c>
      <c r="C165" s="6" t="s">
        <v>34</v>
      </c>
      <c r="D165" s="6" t="s">
        <v>1</v>
      </c>
      <c r="E165" t="s">
        <v>2</v>
      </c>
      <c r="F165" t="s">
        <v>8</v>
      </c>
      <c r="G165" t="s">
        <v>14</v>
      </c>
      <c r="H165" t="s">
        <v>15</v>
      </c>
      <c r="I165" t="s">
        <v>6</v>
      </c>
      <c r="J165" s="4">
        <v>93.1</v>
      </c>
      <c r="K165" s="4">
        <v>166.8</v>
      </c>
      <c r="L165" s="4">
        <v>64.2</v>
      </c>
      <c r="M165" s="4">
        <v>54.1</v>
      </c>
      <c r="N165" s="4">
        <v>1950</v>
      </c>
      <c r="O165" t="s">
        <v>16</v>
      </c>
      <c r="P165" t="s">
        <v>8</v>
      </c>
      <c r="Q165" s="4">
        <v>91</v>
      </c>
      <c r="R165" t="s">
        <v>25</v>
      </c>
      <c r="S165">
        <v>3.08</v>
      </c>
      <c r="T165">
        <v>3.15</v>
      </c>
      <c r="U165">
        <v>9</v>
      </c>
      <c r="V165" s="4">
        <v>68</v>
      </c>
      <c r="W165">
        <v>5000</v>
      </c>
      <c r="X165">
        <v>31</v>
      </c>
      <c r="Y165">
        <v>38</v>
      </c>
      <c r="Z165" s="4">
        <v>7395</v>
      </c>
    </row>
    <row r="166" spans="1:26" x14ac:dyDescent="0.35">
      <c r="A166">
        <v>1</v>
      </c>
      <c r="B166" s="4">
        <v>103</v>
      </c>
      <c r="C166" s="6" t="s">
        <v>45</v>
      </c>
      <c r="D166" s="6" t="s">
        <v>1</v>
      </c>
      <c r="E166" t="s">
        <v>2</v>
      </c>
      <c r="F166" t="s">
        <v>8</v>
      </c>
      <c r="G166" t="s">
        <v>19</v>
      </c>
      <c r="H166" t="s">
        <v>15</v>
      </c>
      <c r="I166" t="s">
        <v>6</v>
      </c>
      <c r="J166" s="4">
        <v>94.5</v>
      </c>
      <c r="K166" s="4">
        <v>170.2</v>
      </c>
      <c r="L166" s="4">
        <v>63.8</v>
      </c>
      <c r="M166" s="4">
        <v>53.5</v>
      </c>
      <c r="N166" s="4">
        <v>2024</v>
      </c>
      <c r="O166" t="s">
        <v>16</v>
      </c>
      <c r="P166" t="s">
        <v>8</v>
      </c>
      <c r="Q166" s="4">
        <v>97</v>
      </c>
      <c r="R166" t="s">
        <v>25</v>
      </c>
      <c r="S166">
        <v>3.15</v>
      </c>
      <c r="T166">
        <v>3.29</v>
      </c>
      <c r="U166">
        <v>9.4</v>
      </c>
      <c r="V166" s="4">
        <v>69</v>
      </c>
      <c r="W166">
        <v>5200</v>
      </c>
      <c r="X166">
        <v>31</v>
      </c>
      <c r="Y166">
        <v>37</v>
      </c>
      <c r="Z166" s="4">
        <v>7349</v>
      </c>
    </row>
    <row r="167" spans="1:26" x14ac:dyDescent="0.35">
      <c r="A167">
        <v>1</v>
      </c>
      <c r="B167" s="4">
        <v>128</v>
      </c>
      <c r="C167" s="6" t="s">
        <v>45</v>
      </c>
      <c r="D167" s="6" t="s">
        <v>1</v>
      </c>
      <c r="E167" t="s">
        <v>2</v>
      </c>
      <c r="F167" t="s">
        <v>3</v>
      </c>
      <c r="G167" t="s">
        <v>14</v>
      </c>
      <c r="H167" t="s">
        <v>15</v>
      </c>
      <c r="I167" t="s">
        <v>6</v>
      </c>
      <c r="J167" s="4">
        <v>94.5</v>
      </c>
      <c r="K167" s="4">
        <v>165.3</v>
      </c>
      <c r="L167" s="4">
        <v>63.8</v>
      </c>
      <c r="M167" s="4">
        <v>54.5</v>
      </c>
      <c r="N167" s="4">
        <v>1951</v>
      </c>
      <c r="O167" t="s">
        <v>16</v>
      </c>
      <c r="P167" t="s">
        <v>8</v>
      </c>
      <c r="Q167" s="4">
        <v>97</v>
      </c>
      <c r="R167" t="s">
        <v>25</v>
      </c>
      <c r="S167">
        <v>3.15</v>
      </c>
      <c r="T167">
        <v>3.29</v>
      </c>
      <c r="U167">
        <v>9.4</v>
      </c>
      <c r="V167" s="4">
        <v>69</v>
      </c>
      <c r="W167">
        <v>5200</v>
      </c>
      <c r="X167">
        <v>31</v>
      </c>
      <c r="Y167">
        <v>37</v>
      </c>
      <c r="Z167" s="4">
        <v>7299</v>
      </c>
    </row>
    <row r="168" spans="1:26" x14ac:dyDescent="0.35">
      <c r="A168">
        <v>0</v>
      </c>
      <c r="B168" s="4">
        <v>110</v>
      </c>
      <c r="C168" s="6" t="s">
        <v>28</v>
      </c>
      <c r="D168" s="6" t="s">
        <v>1</v>
      </c>
      <c r="E168" t="s">
        <v>2</v>
      </c>
      <c r="F168" t="s">
        <v>8</v>
      </c>
      <c r="G168" t="s">
        <v>14</v>
      </c>
      <c r="H168" t="s">
        <v>15</v>
      </c>
      <c r="I168" t="s">
        <v>6</v>
      </c>
      <c r="J168" s="4">
        <v>96.5</v>
      </c>
      <c r="K168" s="4">
        <v>163.4</v>
      </c>
      <c r="L168" s="4">
        <v>64</v>
      </c>
      <c r="M168" s="4">
        <v>54.5</v>
      </c>
      <c r="N168" s="4">
        <v>2010</v>
      </c>
      <c r="O168" t="s">
        <v>16</v>
      </c>
      <c r="P168" t="s">
        <v>8</v>
      </c>
      <c r="Q168" s="4">
        <v>92</v>
      </c>
      <c r="R168" t="s">
        <v>29</v>
      </c>
      <c r="S168">
        <v>2.91</v>
      </c>
      <c r="T168">
        <v>3.41</v>
      </c>
      <c r="U168">
        <v>9.1999999999999993</v>
      </c>
      <c r="V168" s="4">
        <v>76</v>
      </c>
      <c r="W168">
        <v>6000</v>
      </c>
      <c r="X168">
        <v>30</v>
      </c>
      <c r="Y168">
        <v>34</v>
      </c>
      <c r="Z168" s="4">
        <v>7295</v>
      </c>
    </row>
    <row r="169" spans="1:26" x14ac:dyDescent="0.35">
      <c r="A169">
        <v>0</v>
      </c>
      <c r="B169" s="4">
        <v>78</v>
      </c>
      <c r="C169" s="6" t="s">
        <v>28</v>
      </c>
      <c r="D169" s="6" t="s">
        <v>1</v>
      </c>
      <c r="E169" t="s">
        <v>2</v>
      </c>
      <c r="F169" t="s">
        <v>8</v>
      </c>
      <c r="G169" t="s">
        <v>19</v>
      </c>
      <c r="H169" t="s">
        <v>15</v>
      </c>
      <c r="I169" t="s">
        <v>6</v>
      </c>
      <c r="J169" s="4">
        <v>96.5</v>
      </c>
      <c r="K169" s="4">
        <v>157.1</v>
      </c>
      <c r="L169" s="4">
        <v>63.9</v>
      </c>
      <c r="M169" s="4">
        <v>58.3</v>
      </c>
      <c r="N169" s="4">
        <v>2024</v>
      </c>
      <c r="O169" t="s">
        <v>16</v>
      </c>
      <c r="P169" t="s">
        <v>8</v>
      </c>
      <c r="Q169" s="4">
        <v>92</v>
      </c>
      <c r="R169" t="s">
        <v>29</v>
      </c>
      <c r="S169">
        <v>2.92</v>
      </c>
      <c r="T169">
        <v>3.41</v>
      </c>
      <c r="U169">
        <v>9.1999999999999993</v>
      </c>
      <c r="V169" s="4">
        <v>76</v>
      </c>
      <c r="W169">
        <v>6000</v>
      </c>
      <c r="X169">
        <v>30</v>
      </c>
      <c r="Y169">
        <v>34</v>
      </c>
      <c r="Z169" s="4">
        <v>7295</v>
      </c>
    </row>
    <row r="170" spans="1:26" x14ac:dyDescent="0.35">
      <c r="A170">
        <v>0</v>
      </c>
      <c r="B170" s="4">
        <v>91</v>
      </c>
      <c r="C170" s="6" t="s">
        <v>55</v>
      </c>
      <c r="D170" s="6" t="s">
        <v>1</v>
      </c>
      <c r="E170" t="s">
        <v>2</v>
      </c>
      <c r="F170" t="s">
        <v>8</v>
      </c>
      <c r="G170" t="s">
        <v>10</v>
      </c>
      <c r="H170" t="s">
        <v>15</v>
      </c>
      <c r="I170" t="s">
        <v>6</v>
      </c>
      <c r="J170" s="4">
        <v>95.7</v>
      </c>
      <c r="K170" s="4">
        <v>166.3</v>
      </c>
      <c r="L170" s="4">
        <v>64.400000000000006</v>
      </c>
      <c r="M170" s="4">
        <v>52.8</v>
      </c>
      <c r="N170" s="4">
        <v>2109</v>
      </c>
      <c r="O170" t="s">
        <v>16</v>
      </c>
      <c r="P170" t="s">
        <v>8</v>
      </c>
      <c r="Q170" s="4">
        <v>98</v>
      </c>
      <c r="R170" t="s">
        <v>25</v>
      </c>
      <c r="S170">
        <v>3.19</v>
      </c>
      <c r="T170">
        <v>3.03</v>
      </c>
      <c r="U170">
        <v>9</v>
      </c>
      <c r="V170" s="4">
        <v>70</v>
      </c>
      <c r="W170">
        <v>4800</v>
      </c>
      <c r="X170">
        <v>30</v>
      </c>
      <c r="Y170">
        <v>37</v>
      </c>
      <c r="Z170" s="4">
        <v>7198</v>
      </c>
    </row>
    <row r="171" spans="1:26" x14ac:dyDescent="0.35">
      <c r="A171">
        <v>1</v>
      </c>
      <c r="B171" s="4">
        <v>101</v>
      </c>
      <c r="C171" s="6" t="s">
        <v>28</v>
      </c>
      <c r="D171" s="6" t="s">
        <v>1</v>
      </c>
      <c r="E171" t="s">
        <v>2</v>
      </c>
      <c r="F171" t="s">
        <v>3</v>
      </c>
      <c r="G171" t="s">
        <v>10</v>
      </c>
      <c r="H171" t="s">
        <v>15</v>
      </c>
      <c r="I171" t="s">
        <v>6</v>
      </c>
      <c r="J171" s="4">
        <v>93.7</v>
      </c>
      <c r="K171" s="4">
        <v>150</v>
      </c>
      <c r="L171" s="4">
        <v>64</v>
      </c>
      <c r="M171" s="4">
        <v>52.6</v>
      </c>
      <c r="N171" s="4">
        <v>1956</v>
      </c>
      <c r="O171" t="s">
        <v>16</v>
      </c>
      <c r="P171" t="s">
        <v>8</v>
      </c>
      <c r="Q171" s="4">
        <v>92</v>
      </c>
      <c r="R171" t="s">
        <v>29</v>
      </c>
      <c r="S171">
        <v>2.91</v>
      </c>
      <c r="T171">
        <v>3.41</v>
      </c>
      <c r="U171">
        <v>9.1999999999999993</v>
      </c>
      <c r="V171" s="4">
        <v>76</v>
      </c>
      <c r="W171">
        <v>6000</v>
      </c>
      <c r="X171">
        <v>30</v>
      </c>
      <c r="Y171">
        <v>34</v>
      </c>
      <c r="Z171" s="4">
        <v>7129</v>
      </c>
    </row>
    <row r="172" spans="1:26" x14ac:dyDescent="0.35">
      <c r="A172">
        <v>0</v>
      </c>
      <c r="B172" s="4">
        <v>102</v>
      </c>
      <c r="C172" s="6" t="s">
        <v>54</v>
      </c>
      <c r="D172" s="6" t="s">
        <v>1</v>
      </c>
      <c r="E172" t="s">
        <v>2</v>
      </c>
      <c r="F172" t="s">
        <v>8</v>
      </c>
      <c r="G172" t="s">
        <v>14</v>
      </c>
      <c r="H172" t="s">
        <v>15</v>
      </c>
      <c r="I172" t="s">
        <v>6</v>
      </c>
      <c r="J172" s="4">
        <v>97.2</v>
      </c>
      <c r="K172" s="4">
        <v>172</v>
      </c>
      <c r="L172" s="4">
        <v>65.400000000000006</v>
      </c>
      <c r="M172" s="4">
        <v>52.5</v>
      </c>
      <c r="N172" s="4">
        <v>2145</v>
      </c>
      <c r="O172" t="s">
        <v>50</v>
      </c>
      <c r="P172" t="s">
        <v>8</v>
      </c>
      <c r="Q172" s="4">
        <v>108</v>
      </c>
      <c r="R172" t="s">
        <v>25</v>
      </c>
      <c r="S172">
        <v>3.62</v>
      </c>
      <c r="T172">
        <v>2.64</v>
      </c>
      <c r="U172">
        <v>9.5</v>
      </c>
      <c r="V172" s="4">
        <v>82</v>
      </c>
      <c r="W172">
        <v>4800</v>
      </c>
      <c r="X172">
        <v>32</v>
      </c>
      <c r="Y172">
        <v>37</v>
      </c>
      <c r="Z172" s="4">
        <v>7126</v>
      </c>
    </row>
    <row r="173" spans="1:26" x14ac:dyDescent="0.35">
      <c r="A173">
        <v>1</v>
      </c>
      <c r="B173" s="4">
        <v>128</v>
      </c>
      <c r="C173" s="6" t="s">
        <v>45</v>
      </c>
      <c r="D173" s="6" t="s">
        <v>37</v>
      </c>
      <c r="E173" t="s">
        <v>2</v>
      </c>
      <c r="F173" t="s">
        <v>3</v>
      </c>
      <c r="G173" t="s">
        <v>14</v>
      </c>
      <c r="H173" t="s">
        <v>15</v>
      </c>
      <c r="I173" t="s">
        <v>6</v>
      </c>
      <c r="J173" s="4">
        <v>94.5</v>
      </c>
      <c r="K173" s="4">
        <v>165.3</v>
      </c>
      <c r="L173" s="4">
        <v>63.8</v>
      </c>
      <c r="M173" s="4">
        <v>54.5</v>
      </c>
      <c r="N173" s="4">
        <v>2017</v>
      </c>
      <c r="O173" t="s">
        <v>16</v>
      </c>
      <c r="P173" t="s">
        <v>8</v>
      </c>
      <c r="Q173" s="4">
        <v>103</v>
      </c>
      <c r="R173" t="s">
        <v>38</v>
      </c>
      <c r="S173">
        <v>2.99</v>
      </c>
      <c r="T173">
        <v>3.47</v>
      </c>
      <c r="U173">
        <v>21.9</v>
      </c>
      <c r="V173" s="4">
        <v>55</v>
      </c>
      <c r="W173">
        <v>4800</v>
      </c>
      <c r="X173">
        <v>45</v>
      </c>
      <c r="Y173">
        <v>50</v>
      </c>
      <c r="Z173" s="4">
        <v>7099</v>
      </c>
    </row>
    <row r="174" spans="1:26" x14ac:dyDescent="0.35">
      <c r="A174">
        <v>2</v>
      </c>
      <c r="B174" s="4">
        <v>83</v>
      </c>
      <c r="C174" s="6" t="s">
        <v>54</v>
      </c>
      <c r="D174" s="6" t="s">
        <v>1</v>
      </c>
      <c r="E174" t="s">
        <v>2</v>
      </c>
      <c r="F174" t="s">
        <v>3</v>
      </c>
      <c r="G174" t="s">
        <v>10</v>
      </c>
      <c r="H174" t="s">
        <v>15</v>
      </c>
      <c r="I174" t="s">
        <v>6</v>
      </c>
      <c r="J174" s="4">
        <v>93.7</v>
      </c>
      <c r="K174" s="4">
        <v>157.9</v>
      </c>
      <c r="L174" s="4">
        <v>63.6</v>
      </c>
      <c r="M174" s="4">
        <v>53.7</v>
      </c>
      <c r="N174" s="4">
        <v>2120</v>
      </c>
      <c r="O174" t="s">
        <v>50</v>
      </c>
      <c r="P174" t="s">
        <v>8</v>
      </c>
      <c r="Q174" s="4">
        <v>108</v>
      </c>
      <c r="R174" t="s">
        <v>25</v>
      </c>
      <c r="S174">
        <v>3.62</v>
      </c>
      <c r="T174">
        <v>2.64</v>
      </c>
      <c r="U174">
        <v>8.6999999999999993</v>
      </c>
      <c r="V174" s="4">
        <v>73</v>
      </c>
      <c r="W174">
        <v>4400</v>
      </c>
      <c r="X174">
        <v>26</v>
      </c>
      <c r="Y174">
        <v>31</v>
      </c>
      <c r="Z174" s="4">
        <v>7053</v>
      </c>
    </row>
    <row r="175" spans="1:26" x14ac:dyDescent="0.35">
      <c r="A175">
        <v>1</v>
      </c>
      <c r="B175" s="4">
        <v>125</v>
      </c>
      <c r="C175" s="6" t="s">
        <v>43</v>
      </c>
      <c r="D175" s="6" t="s">
        <v>1</v>
      </c>
      <c r="E175" t="s">
        <v>2</v>
      </c>
      <c r="F175" t="s">
        <v>8</v>
      </c>
      <c r="G175" t="s">
        <v>14</v>
      </c>
      <c r="H175" t="s">
        <v>15</v>
      </c>
      <c r="I175" t="s">
        <v>6</v>
      </c>
      <c r="J175" s="4">
        <v>96.3</v>
      </c>
      <c r="K175" s="4">
        <v>172.4</v>
      </c>
      <c r="L175" s="4">
        <v>65.400000000000006</v>
      </c>
      <c r="M175" s="4">
        <v>51.6</v>
      </c>
      <c r="N175" s="4">
        <v>2365</v>
      </c>
      <c r="O175" t="s">
        <v>16</v>
      </c>
      <c r="P175" t="s">
        <v>8</v>
      </c>
      <c r="Q175" s="4">
        <v>122</v>
      </c>
      <c r="R175" t="s">
        <v>25</v>
      </c>
      <c r="S175">
        <v>3.35</v>
      </c>
      <c r="T175">
        <v>3.46</v>
      </c>
      <c r="U175">
        <v>8.5</v>
      </c>
      <c r="V175" s="4">
        <v>88</v>
      </c>
      <c r="W175">
        <v>5000</v>
      </c>
      <c r="X175">
        <v>25</v>
      </c>
      <c r="Y175">
        <v>32</v>
      </c>
      <c r="Z175" s="4">
        <v>6989</v>
      </c>
    </row>
    <row r="176" spans="1:26" x14ac:dyDescent="0.35">
      <c r="A176">
        <v>0</v>
      </c>
      <c r="B176" s="4">
        <v>91</v>
      </c>
      <c r="C176" s="6" t="s">
        <v>55</v>
      </c>
      <c r="D176" s="6" t="s">
        <v>1</v>
      </c>
      <c r="E176" t="s">
        <v>2</v>
      </c>
      <c r="F176" t="s">
        <v>8</v>
      </c>
      <c r="G176" t="s">
        <v>14</v>
      </c>
      <c r="H176" t="s">
        <v>15</v>
      </c>
      <c r="I176" t="s">
        <v>6</v>
      </c>
      <c r="J176" s="4">
        <v>95.7</v>
      </c>
      <c r="K176" s="4">
        <v>166.3</v>
      </c>
      <c r="L176" s="4">
        <v>64.400000000000006</v>
      </c>
      <c r="M176" s="4">
        <v>53</v>
      </c>
      <c r="N176" s="4">
        <v>2081</v>
      </c>
      <c r="O176" t="s">
        <v>16</v>
      </c>
      <c r="P176" t="s">
        <v>8</v>
      </c>
      <c r="Q176" s="4">
        <v>98</v>
      </c>
      <c r="R176" t="s">
        <v>25</v>
      </c>
      <c r="S176">
        <v>3.19</v>
      </c>
      <c r="T176">
        <v>3.03</v>
      </c>
      <c r="U176">
        <v>9</v>
      </c>
      <c r="V176" s="4">
        <v>70</v>
      </c>
      <c r="W176">
        <v>4800</v>
      </c>
      <c r="X176">
        <v>30</v>
      </c>
      <c r="Y176">
        <v>37</v>
      </c>
      <c r="Z176" s="4">
        <v>6938</v>
      </c>
    </row>
    <row r="177" spans="1:26" x14ac:dyDescent="0.35">
      <c r="A177">
        <v>0</v>
      </c>
      <c r="B177" s="4">
        <v>77</v>
      </c>
      <c r="C177" s="6" t="s">
        <v>55</v>
      </c>
      <c r="D177" s="6" t="s">
        <v>1</v>
      </c>
      <c r="E177" t="s">
        <v>2</v>
      </c>
      <c r="F177" t="s">
        <v>8</v>
      </c>
      <c r="G177" t="s">
        <v>19</v>
      </c>
      <c r="H177" t="s">
        <v>15</v>
      </c>
      <c r="I177" t="s">
        <v>6</v>
      </c>
      <c r="J177" s="4">
        <v>95.7</v>
      </c>
      <c r="K177" s="4">
        <v>169.7</v>
      </c>
      <c r="L177" s="4">
        <v>63.6</v>
      </c>
      <c r="M177" s="4">
        <v>59.1</v>
      </c>
      <c r="N177" s="4">
        <v>2280</v>
      </c>
      <c r="O177" t="s">
        <v>16</v>
      </c>
      <c r="P177" t="s">
        <v>8</v>
      </c>
      <c r="Q177" s="4">
        <v>92</v>
      </c>
      <c r="R177" t="s">
        <v>25</v>
      </c>
      <c r="S177">
        <v>3.05</v>
      </c>
      <c r="T177">
        <v>3.03</v>
      </c>
      <c r="U177">
        <v>9</v>
      </c>
      <c r="V177" s="4">
        <v>62</v>
      </c>
      <c r="W177">
        <v>4800</v>
      </c>
      <c r="X177">
        <v>31</v>
      </c>
      <c r="Y177">
        <v>37</v>
      </c>
      <c r="Z177" s="4">
        <v>6918</v>
      </c>
    </row>
    <row r="178" spans="1:26" x14ac:dyDescent="0.35">
      <c r="A178">
        <v>2</v>
      </c>
      <c r="B178" s="4">
        <v>137</v>
      </c>
      <c r="C178" s="6" t="s">
        <v>28</v>
      </c>
      <c r="D178" s="6" t="s">
        <v>1</v>
      </c>
      <c r="E178" t="s">
        <v>2</v>
      </c>
      <c r="F178" t="s">
        <v>3</v>
      </c>
      <c r="G178" t="s">
        <v>10</v>
      </c>
      <c r="H178" t="s">
        <v>15</v>
      </c>
      <c r="I178" t="s">
        <v>6</v>
      </c>
      <c r="J178" s="4">
        <v>86.6</v>
      </c>
      <c r="K178" s="4">
        <v>144.6</v>
      </c>
      <c r="L178" s="4">
        <v>63.9</v>
      </c>
      <c r="M178" s="4">
        <v>50.8</v>
      </c>
      <c r="N178" s="4">
        <v>1819</v>
      </c>
      <c r="O178" t="s">
        <v>16</v>
      </c>
      <c r="P178" t="s">
        <v>8</v>
      </c>
      <c r="Q178" s="4">
        <v>92</v>
      </c>
      <c r="R178" t="s">
        <v>29</v>
      </c>
      <c r="S178">
        <v>2.91</v>
      </c>
      <c r="T178">
        <v>3.41</v>
      </c>
      <c r="U178">
        <v>9.1999999999999993</v>
      </c>
      <c r="V178" s="4">
        <v>76</v>
      </c>
      <c r="W178">
        <v>6000</v>
      </c>
      <c r="X178">
        <v>31</v>
      </c>
      <c r="Y178">
        <v>38</v>
      </c>
      <c r="Z178" s="4">
        <v>6855</v>
      </c>
    </row>
    <row r="179" spans="1:26" x14ac:dyDescent="0.35">
      <c r="A179">
        <v>1</v>
      </c>
      <c r="B179" s="4">
        <v>122</v>
      </c>
      <c r="C179" s="6" t="s">
        <v>45</v>
      </c>
      <c r="D179" s="6" t="s">
        <v>1</v>
      </c>
      <c r="E179" t="s">
        <v>2</v>
      </c>
      <c r="F179" t="s">
        <v>8</v>
      </c>
      <c r="G179" t="s">
        <v>14</v>
      </c>
      <c r="H179" t="s">
        <v>15</v>
      </c>
      <c r="I179" t="s">
        <v>6</v>
      </c>
      <c r="J179" s="4">
        <v>94.5</v>
      </c>
      <c r="K179" s="4">
        <v>165.3</v>
      </c>
      <c r="L179" s="4">
        <v>63.8</v>
      </c>
      <c r="M179" s="4">
        <v>54.5</v>
      </c>
      <c r="N179" s="4">
        <v>1938</v>
      </c>
      <c r="O179" t="s">
        <v>16</v>
      </c>
      <c r="P179" t="s">
        <v>8</v>
      </c>
      <c r="Q179" s="4">
        <v>97</v>
      </c>
      <c r="R179" t="s">
        <v>25</v>
      </c>
      <c r="S179">
        <v>3.15</v>
      </c>
      <c r="T179">
        <v>3.29</v>
      </c>
      <c r="U179">
        <v>9.4</v>
      </c>
      <c r="V179" s="4">
        <v>69</v>
      </c>
      <c r="W179">
        <v>5200</v>
      </c>
      <c r="X179">
        <v>31</v>
      </c>
      <c r="Y179">
        <v>37</v>
      </c>
      <c r="Z179" s="4">
        <v>6849</v>
      </c>
    </row>
    <row r="180" spans="1:26" x14ac:dyDescent="0.35">
      <c r="A180">
        <v>1</v>
      </c>
      <c r="B180" s="4">
        <v>104</v>
      </c>
      <c r="C180" s="6" t="s">
        <v>34</v>
      </c>
      <c r="D180" s="6" t="s">
        <v>1</v>
      </c>
      <c r="E180" t="s">
        <v>2</v>
      </c>
      <c r="F180" t="s">
        <v>3</v>
      </c>
      <c r="G180" t="s">
        <v>10</v>
      </c>
      <c r="H180" t="s">
        <v>15</v>
      </c>
      <c r="I180" t="s">
        <v>6</v>
      </c>
      <c r="J180" s="4">
        <v>93.1</v>
      </c>
      <c r="K180" s="4">
        <v>159.1</v>
      </c>
      <c r="L180" s="4">
        <v>64.2</v>
      </c>
      <c r="M180" s="4">
        <v>54.1</v>
      </c>
      <c r="N180" s="4">
        <v>1905</v>
      </c>
      <c r="O180" t="s">
        <v>16</v>
      </c>
      <c r="P180" t="s">
        <v>8</v>
      </c>
      <c r="Q180" s="4">
        <v>91</v>
      </c>
      <c r="R180" t="s">
        <v>25</v>
      </c>
      <c r="S180">
        <v>3.03</v>
      </c>
      <c r="T180">
        <v>3.15</v>
      </c>
      <c r="U180">
        <v>9</v>
      </c>
      <c r="V180" s="4">
        <v>68</v>
      </c>
      <c r="W180">
        <v>5000</v>
      </c>
      <c r="X180">
        <v>31</v>
      </c>
      <c r="Y180">
        <v>38</v>
      </c>
      <c r="Z180" s="4">
        <v>6795</v>
      </c>
    </row>
    <row r="181" spans="1:26" hidden="1" x14ac:dyDescent="0.35">
      <c r="A181">
        <v>0</v>
      </c>
      <c r="C181" s="6" t="s">
        <v>30</v>
      </c>
      <c r="D181" s="6" t="s">
        <v>1</v>
      </c>
      <c r="E181" t="s">
        <v>2</v>
      </c>
      <c r="F181" t="s">
        <v>8</v>
      </c>
      <c r="G181" t="s">
        <v>14</v>
      </c>
      <c r="H181" t="s">
        <v>5</v>
      </c>
      <c r="I181" t="s">
        <v>6</v>
      </c>
      <c r="J181" s="4">
        <v>94.3</v>
      </c>
      <c r="K181" s="4">
        <v>170.7</v>
      </c>
      <c r="L181" s="4">
        <v>61.8</v>
      </c>
      <c r="M181" s="4">
        <v>53.5</v>
      </c>
      <c r="N181" s="4">
        <v>2337</v>
      </c>
      <c r="O181" t="s">
        <v>16</v>
      </c>
      <c r="P181" t="s">
        <v>8</v>
      </c>
      <c r="Q181" s="4">
        <v>111</v>
      </c>
      <c r="R181" t="s">
        <v>25</v>
      </c>
      <c r="S181">
        <v>3.31</v>
      </c>
      <c r="T181">
        <v>3.23</v>
      </c>
      <c r="U181">
        <v>8.5</v>
      </c>
      <c r="V181" s="4">
        <v>78</v>
      </c>
      <c r="W181">
        <v>4800</v>
      </c>
      <c r="X181">
        <v>24</v>
      </c>
      <c r="Y181">
        <v>29</v>
      </c>
      <c r="Z181" s="4">
        <v>6785</v>
      </c>
    </row>
    <row r="182" spans="1:26" x14ac:dyDescent="0.35">
      <c r="A182">
        <v>1</v>
      </c>
      <c r="B182" s="4">
        <v>113</v>
      </c>
      <c r="C182" s="6" t="s">
        <v>34</v>
      </c>
      <c r="D182" s="6" t="s">
        <v>1</v>
      </c>
      <c r="E182" t="s">
        <v>2</v>
      </c>
      <c r="F182" t="s">
        <v>8</v>
      </c>
      <c r="G182" t="s">
        <v>14</v>
      </c>
      <c r="H182" t="s">
        <v>15</v>
      </c>
      <c r="I182" t="s">
        <v>6</v>
      </c>
      <c r="J182" s="4">
        <v>93.1</v>
      </c>
      <c r="K182" s="4">
        <v>166.8</v>
      </c>
      <c r="L182" s="4">
        <v>64.2</v>
      </c>
      <c r="M182" s="4">
        <v>54.1</v>
      </c>
      <c r="N182" s="4">
        <v>1945</v>
      </c>
      <c r="O182" t="s">
        <v>16</v>
      </c>
      <c r="P182" t="s">
        <v>8</v>
      </c>
      <c r="Q182" s="4">
        <v>91</v>
      </c>
      <c r="R182" t="s">
        <v>25</v>
      </c>
      <c r="S182">
        <v>3.03</v>
      </c>
      <c r="T182">
        <v>3.15</v>
      </c>
      <c r="U182">
        <v>9</v>
      </c>
      <c r="V182" s="4">
        <v>68</v>
      </c>
      <c r="W182">
        <v>5000</v>
      </c>
      <c r="X182">
        <v>31</v>
      </c>
      <c r="Y182">
        <v>38</v>
      </c>
      <c r="Z182" s="4">
        <v>6695</v>
      </c>
    </row>
    <row r="183" spans="1:26" x14ac:dyDescent="0.35">
      <c r="A183">
        <v>1</v>
      </c>
      <c r="B183" s="4">
        <v>148</v>
      </c>
      <c r="C183" s="6" t="s">
        <v>26</v>
      </c>
      <c r="D183" s="6" t="s">
        <v>1</v>
      </c>
      <c r="E183" t="s">
        <v>2</v>
      </c>
      <c r="F183" t="s">
        <v>8</v>
      </c>
      <c r="G183" t="s">
        <v>14</v>
      </c>
      <c r="H183" t="s">
        <v>15</v>
      </c>
      <c r="I183" t="s">
        <v>6</v>
      </c>
      <c r="J183" s="4">
        <v>93.7</v>
      </c>
      <c r="K183" s="4">
        <v>157.30000000000001</v>
      </c>
      <c r="L183" s="4">
        <v>63.8</v>
      </c>
      <c r="M183" s="4">
        <v>50.6</v>
      </c>
      <c r="N183" s="4">
        <v>1989</v>
      </c>
      <c r="O183" t="s">
        <v>16</v>
      </c>
      <c r="P183" t="s">
        <v>8</v>
      </c>
      <c r="Q183" s="4">
        <v>90</v>
      </c>
      <c r="R183" t="s">
        <v>25</v>
      </c>
      <c r="S183">
        <v>2.97</v>
      </c>
      <c r="T183">
        <v>3.23</v>
      </c>
      <c r="U183">
        <v>9.4</v>
      </c>
      <c r="V183" s="4">
        <v>68</v>
      </c>
      <c r="W183">
        <v>5500</v>
      </c>
      <c r="X183">
        <v>31</v>
      </c>
      <c r="Y183">
        <v>38</v>
      </c>
      <c r="Z183" s="4">
        <v>6692</v>
      </c>
    </row>
    <row r="184" spans="1:26" x14ac:dyDescent="0.35">
      <c r="A184">
        <v>1</v>
      </c>
      <c r="B184" s="4">
        <v>154</v>
      </c>
      <c r="C184" s="6" t="s">
        <v>47</v>
      </c>
      <c r="D184" s="6" t="s">
        <v>1</v>
      </c>
      <c r="E184" t="s">
        <v>2</v>
      </c>
      <c r="F184" t="s">
        <v>8</v>
      </c>
      <c r="G184" t="s">
        <v>14</v>
      </c>
      <c r="H184" t="s">
        <v>15</v>
      </c>
      <c r="I184" t="s">
        <v>6</v>
      </c>
      <c r="J184" s="4">
        <v>93.7</v>
      </c>
      <c r="K184" s="4">
        <v>167.3</v>
      </c>
      <c r="L184" s="4">
        <v>63.8</v>
      </c>
      <c r="M184" s="4">
        <v>50.8</v>
      </c>
      <c r="N184" s="4">
        <v>1989</v>
      </c>
      <c r="O184" t="s">
        <v>16</v>
      </c>
      <c r="P184" t="s">
        <v>8</v>
      </c>
      <c r="Q184" s="4">
        <v>90</v>
      </c>
      <c r="R184" t="s">
        <v>25</v>
      </c>
      <c r="S184">
        <v>2.97</v>
      </c>
      <c r="T184">
        <v>3.23</v>
      </c>
      <c r="U184">
        <v>9.4</v>
      </c>
      <c r="V184" s="4">
        <v>68</v>
      </c>
      <c r="W184">
        <v>5500</v>
      </c>
      <c r="X184">
        <v>31</v>
      </c>
      <c r="Y184">
        <v>38</v>
      </c>
      <c r="Z184" s="4">
        <v>6692</v>
      </c>
    </row>
    <row r="185" spans="1:26" x14ac:dyDescent="0.35">
      <c r="A185">
        <v>2</v>
      </c>
      <c r="B185" s="4">
        <v>161</v>
      </c>
      <c r="C185" s="6" t="s">
        <v>43</v>
      </c>
      <c r="D185" s="6" t="s">
        <v>1</v>
      </c>
      <c r="E185" t="s">
        <v>2</v>
      </c>
      <c r="F185" t="s">
        <v>3</v>
      </c>
      <c r="G185" t="s">
        <v>10</v>
      </c>
      <c r="H185" t="s">
        <v>15</v>
      </c>
      <c r="I185" t="s">
        <v>6</v>
      </c>
      <c r="J185" s="4">
        <v>93.7</v>
      </c>
      <c r="K185" s="4">
        <v>157.30000000000001</v>
      </c>
      <c r="L185" s="4">
        <v>64.400000000000006</v>
      </c>
      <c r="M185" s="4">
        <v>50.8</v>
      </c>
      <c r="N185" s="4">
        <v>2004</v>
      </c>
      <c r="O185" t="s">
        <v>16</v>
      </c>
      <c r="P185" t="s">
        <v>8</v>
      </c>
      <c r="Q185" s="4">
        <v>92</v>
      </c>
      <c r="R185" t="s">
        <v>25</v>
      </c>
      <c r="S185">
        <v>2.97</v>
      </c>
      <c r="T185">
        <v>3.23</v>
      </c>
      <c r="U185">
        <v>9.4</v>
      </c>
      <c r="V185" s="4">
        <v>68</v>
      </c>
      <c r="W185">
        <v>5500</v>
      </c>
      <c r="X185">
        <v>31</v>
      </c>
      <c r="Y185">
        <v>38</v>
      </c>
      <c r="Z185" s="4">
        <v>6669</v>
      </c>
    </row>
    <row r="186" spans="1:26" x14ac:dyDescent="0.35">
      <c r="A186">
        <v>1</v>
      </c>
      <c r="B186" s="4">
        <v>128</v>
      </c>
      <c r="C186" s="6" t="s">
        <v>45</v>
      </c>
      <c r="D186" s="6" t="s">
        <v>1</v>
      </c>
      <c r="E186" t="s">
        <v>2</v>
      </c>
      <c r="F186" t="s">
        <v>3</v>
      </c>
      <c r="G186" t="s">
        <v>14</v>
      </c>
      <c r="H186" t="s">
        <v>15</v>
      </c>
      <c r="I186" t="s">
        <v>6</v>
      </c>
      <c r="J186" s="4">
        <v>94.5</v>
      </c>
      <c r="K186" s="4">
        <v>165.3</v>
      </c>
      <c r="L186" s="4">
        <v>63.8</v>
      </c>
      <c r="M186" s="4">
        <v>54.5</v>
      </c>
      <c r="N186" s="4">
        <v>1918</v>
      </c>
      <c r="O186" t="s">
        <v>16</v>
      </c>
      <c r="P186" t="s">
        <v>8</v>
      </c>
      <c r="Q186" s="4">
        <v>97</v>
      </c>
      <c r="R186" t="s">
        <v>25</v>
      </c>
      <c r="S186">
        <v>3.15</v>
      </c>
      <c r="T186">
        <v>3.29</v>
      </c>
      <c r="U186">
        <v>9.4</v>
      </c>
      <c r="V186" s="4">
        <v>69</v>
      </c>
      <c r="W186">
        <v>5200</v>
      </c>
      <c r="X186">
        <v>31</v>
      </c>
      <c r="Y186">
        <v>37</v>
      </c>
      <c r="Z186" s="4">
        <v>6649</v>
      </c>
    </row>
    <row r="187" spans="1:26" x14ac:dyDescent="0.35">
      <c r="A187">
        <v>0</v>
      </c>
      <c r="B187" s="4">
        <v>81</v>
      </c>
      <c r="C187" s="6" t="s">
        <v>22</v>
      </c>
      <c r="D187" s="6" t="s">
        <v>1</v>
      </c>
      <c r="E187" t="s">
        <v>2</v>
      </c>
      <c r="F187" t="s">
        <v>8</v>
      </c>
      <c r="G187" t="s">
        <v>14</v>
      </c>
      <c r="H187" t="s">
        <v>15</v>
      </c>
      <c r="I187" t="s">
        <v>6</v>
      </c>
      <c r="J187" s="4">
        <v>94.5</v>
      </c>
      <c r="K187" s="4">
        <v>158.80000000000001</v>
      </c>
      <c r="L187" s="4">
        <v>63.6</v>
      </c>
      <c r="M187" s="4">
        <v>52</v>
      </c>
      <c r="N187" s="4">
        <v>1909</v>
      </c>
      <c r="O187" t="s">
        <v>16</v>
      </c>
      <c r="P187" t="s">
        <v>8</v>
      </c>
      <c r="Q187" s="4">
        <v>90</v>
      </c>
      <c r="R187" t="s">
        <v>25</v>
      </c>
      <c r="S187">
        <v>3.03</v>
      </c>
      <c r="T187">
        <v>3.11</v>
      </c>
      <c r="U187">
        <v>9.6</v>
      </c>
      <c r="V187" s="4">
        <v>70</v>
      </c>
      <c r="W187">
        <v>5400</v>
      </c>
      <c r="X187">
        <v>38</v>
      </c>
      <c r="Y187">
        <v>43</v>
      </c>
      <c r="Z187" s="4">
        <v>6575</v>
      </c>
    </row>
    <row r="188" spans="1:26" x14ac:dyDescent="0.35">
      <c r="A188">
        <v>1</v>
      </c>
      <c r="B188" s="4">
        <v>101</v>
      </c>
      <c r="C188" s="6" t="s">
        <v>28</v>
      </c>
      <c r="D188" s="6" t="s">
        <v>1</v>
      </c>
      <c r="E188" t="s">
        <v>2</v>
      </c>
      <c r="F188" t="s">
        <v>3</v>
      </c>
      <c r="G188" t="s">
        <v>10</v>
      </c>
      <c r="H188" t="s">
        <v>15</v>
      </c>
      <c r="I188" t="s">
        <v>6</v>
      </c>
      <c r="J188" s="4">
        <v>93.7</v>
      </c>
      <c r="K188" s="4">
        <v>150</v>
      </c>
      <c r="L188" s="4">
        <v>64</v>
      </c>
      <c r="M188" s="4">
        <v>52.6</v>
      </c>
      <c r="N188" s="4">
        <v>1940</v>
      </c>
      <c r="O188" t="s">
        <v>16</v>
      </c>
      <c r="P188" t="s">
        <v>8</v>
      </c>
      <c r="Q188" s="4">
        <v>92</v>
      </c>
      <c r="R188" t="s">
        <v>29</v>
      </c>
      <c r="S188">
        <v>2.91</v>
      </c>
      <c r="T188">
        <v>3.41</v>
      </c>
      <c r="U188">
        <v>9.1999999999999993</v>
      </c>
      <c r="V188" s="4">
        <v>76</v>
      </c>
      <c r="W188">
        <v>6000</v>
      </c>
      <c r="X188">
        <v>30</v>
      </c>
      <c r="Y188">
        <v>34</v>
      </c>
      <c r="Z188" s="4">
        <v>6529</v>
      </c>
    </row>
    <row r="189" spans="1:26" x14ac:dyDescent="0.35">
      <c r="A189">
        <v>1</v>
      </c>
      <c r="B189" s="4">
        <v>74</v>
      </c>
      <c r="C189" s="6" t="s">
        <v>55</v>
      </c>
      <c r="D189" s="6" t="s">
        <v>1</v>
      </c>
      <c r="E189" t="s">
        <v>2</v>
      </c>
      <c r="F189" t="s">
        <v>8</v>
      </c>
      <c r="G189" t="s">
        <v>10</v>
      </c>
      <c r="H189" t="s">
        <v>15</v>
      </c>
      <c r="I189" t="s">
        <v>6</v>
      </c>
      <c r="J189" s="4">
        <v>95.7</v>
      </c>
      <c r="K189" s="4">
        <v>158.69999999999999</v>
      </c>
      <c r="L189" s="4">
        <v>63.6</v>
      </c>
      <c r="M189" s="4">
        <v>54.5</v>
      </c>
      <c r="N189" s="4">
        <v>2015</v>
      </c>
      <c r="O189" t="s">
        <v>16</v>
      </c>
      <c r="P189" t="s">
        <v>8</v>
      </c>
      <c r="Q189" s="4">
        <v>92</v>
      </c>
      <c r="R189" t="s">
        <v>25</v>
      </c>
      <c r="S189">
        <v>3.05</v>
      </c>
      <c r="T189">
        <v>3.03</v>
      </c>
      <c r="U189">
        <v>9</v>
      </c>
      <c r="V189" s="4">
        <v>62</v>
      </c>
      <c r="W189">
        <v>4800</v>
      </c>
      <c r="X189">
        <v>31</v>
      </c>
      <c r="Y189">
        <v>38</v>
      </c>
      <c r="Z189" s="4">
        <v>6488</v>
      </c>
    </row>
    <row r="190" spans="1:26" x14ac:dyDescent="0.35">
      <c r="A190">
        <v>2</v>
      </c>
      <c r="B190" s="4">
        <v>137</v>
      </c>
      <c r="C190" s="6" t="s">
        <v>28</v>
      </c>
      <c r="D190" s="6" t="s">
        <v>1</v>
      </c>
      <c r="E190" t="s">
        <v>2</v>
      </c>
      <c r="F190" t="s">
        <v>3</v>
      </c>
      <c r="G190" t="s">
        <v>10</v>
      </c>
      <c r="H190" t="s">
        <v>15</v>
      </c>
      <c r="I190" t="s">
        <v>6</v>
      </c>
      <c r="J190" s="4">
        <v>86.6</v>
      </c>
      <c r="K190" s="4">
        <v>144.6</v>
      </c>
      <c r="L190" s="4">
        <v>63.9</v>
      </c>
      <c r="M190" s="4">
        <v>50.8</v>
      </c>
      <c r="N190" s="4">
        <v>1713</v>
      </c>
      <c r="O190" t="s">
        <v>16</v>
      </c>
      <c r="P190" t="s">
        <v>8</v>
      </c>
      <c r="Q190" s="4">
        <v>92</v>
      </c>
      <c r="R190" t="s">
        <v>29</v>
      </c>
      <c r="S190">
        <v>2.91</v>
      </c>
      <c r="T190">
        <v>3.41</v>
      </c>
      <c r="U190">
        <v>9.6</v>
      </c>
      <c r="V190" s="4">
        <v>58</v>
      </c>
      <c r="W190">
        <v>4800</v>
      </c>
      <c r="X190">
        <v>49</v>
      </c>
      <c r="Y190">
        <v>54</v>
      </c>
      <c r="Z190" s="4">
        <v>6479</v>
      </c>
    </row>
    <row r="191" spans="1:26" x14ac:dyDescent="0.35">
      <c r="A191">
        <v>1</v>
      </c>
      <c r="B191" s="4">
        <v>118</v>
      </c>
      <c r="C191" s="6" t="s">
        <v>26</v>
      </c>
      <c r="D191" s="6" t="s">
        <v>1</v>
      </c>
      <c r="E191" t="s">
        <v>2</v>
      </c>
      <c r="F191" t="s">
        <v>3</v>
      </c>
      <c r="G191" t="s">
        <v>10</v>
      </c>
      <c r="H191" t="s">
        <v>15</v>
      </c>
      <c r="I191" t="s">
        <v>6</v>
      </c>
      <c r="J191" s="4">
        <v>93.7</v>
      </c>
      <c r="K191" s="4">
        <v>157.30000000000001</v>
      </c>
      <c r="L191" s="4">
        <v>63.8</v>
      </c>
      <c r="M191" s="4">
        <v>50.8</v>
      </c>
      <c r="N191" s="4">
        <v>1876</v>
      </c>
      <c r="O191" t="s">
        <v>16</v>
      </c>
      <c r="P191" t="s">
        <v>8</v>
      </c>
      <c r="Q191" s="4">
        <v>90</v>
      </c>
      <c r="R191" t="s">
        <v>25</v>
      </c>
      <c r="S191">
        <v>2.97</v>
      </c>
      <c r="T191">
        <v>3.23</v>
      </c>
      <c r="U191">
        <v>9.4</v>
      </c>
      <c r="V191" s="4">
        <v>68</v>
      </c>
      <c r="W191">
        <v>5500</v>
      </c>
      <c r="X191">
        <v>31</v>
      </c>
      <c r="Y191">
        <v>38</v>
      </c>
      <c r="Z191" s="4">
        <v>6377</v>
      </c>
    </row>
    <row r="192" spans="1:26" x14ac:dyDescent="0.35">
      <c r="A192">
        <v>1</v>
      </c>
      <c r="B192" s="4">
        <v>87</v>
      </c>
      <c r="C192" s="6" t="s">
        <v>55</v>
      </c>
      <c r="D192" s="6" t="s">
        <v>1</v>
      </c>
      <c r="E192" t="s">
        <v>2</v>
      </c>
      <c r="F192" t="s">
        <v>3</v>
      </c>
      <c r="G192" t="s">
        <v>10</v>
      </c>
      <c r="H192" t="s">
        <v>15</v>
      </c>
      <c r="I192" t="s">
        <v>6</v>
      </c>
      <c r="J192" s="4">
        <v>95.7</v>
      </c>
      <c r="K192" s="4">
        <v>158.69999999999999</v>
      </c>
      <c r="L192" s="4">
        <v>63.6</v>
      </c>
      <c r="M192" s="4">
        <v>54.5</v>
      </c>
      <c r="N192" s="4">
        <v>2040</v>
      </c>
      <c r="O192" t="s">
        <v>16</v>
      </c>
      <c r="P192" t="s">
        <v>8</v>
      </c>
      <c r="Q192" s="4">
        <v>92</v>
      </c>
      <c r="R192" t="s">
        <v>25</v>
      </c>
      <c r="S192">
        <v>3.05</v>
      </c>
      <c r="T192">
        <v>3.03</v>
      </c>
      <c r="U192">
        <v>9</v>
      </c>
      <c r="V192" s="4">
        <v>62</v>
      </c>
      <c r="W192">
        <v>4800</v>
      </c>
      <c r="X192">
        <v>31</v>
      </c>
      <c r="Y192">
        <v>38</v>
      </c>
      <c r="Z192" s="4">
        <v>6338</v>
      </c>
    </row>
    <row r="193" spans="1:26" x14ac:dyDescent="0.35">
      <c r="A193">
        <v>1</v>
      </c>
      <c r="B193" s="4">
        <v>98</v>
      </c>
      <c r="C193" s="6" t="s">
        <v>22</v>
      </c>
      <c r="D193" s="6" t="s">
        <v>1</v>
      </c>
      <c r="E193" t="s">
        <v>2</v>
      </c>
      <c r="F193" t="s">
        <v>3</v>
      </c>
      <c r="G193" t="s">
        <v>10</v>
      </c>
      <c r="H193" t="s">
        <v>15</v>
      </c>
      <c r="I193" t="s">
        <v>6</v>
      </c>
      <c r="J193" s="4">
        <v>94.5</v>
      </c>
      <c r="K193" s="4">
        <v>155.9</v>
      </c>
      <c r="L193" s="4">
        <v>63.6</v>
      </c>
      <c r="M193" s="4">
        <v>52</v>
      </c>
      <c r="N193" s="4">
        <v>1874</v>
      </c>
      <c r="O193" t="s">
        <v>16</v>
      </c>
      <c r="P193" t="s">
        <v>8</v>
      </c>
      <c r="Q193" s="4">
        <v>90</v>
      </c>
      <c r="R193" t="s">
        <v>25</v>
      </c>
      <c r="S193">
        <v>3.03</v>
      </c>
      <c r="T193">
        <v>3.11</v>
      </c>
      <c r="U193">
        <v>9.6</v>
      </c>
      <c r="V193" s="4">
        <v>70</v>
      </c>
      <c r="W193">
        <v>5400</v>
      </c>
      <c r="X193">
        <v>38</v>
      </c>
      <c r="Y193">
        <v>43</v>
      </c>
      <c r="Z193" s="4">
        <v>6295</v>
      </c>
    </row>
    <row r="194" spans="1:26" x14ac:dyDescent="0.35">
      <c r="A194">
        <v>1</v>
      </c>
      <c r="B194" s="4">
        <v>148</v>
      </c>
      <c r="C194" s="6" t="s">
        <v>26</v>
      </c>
      <c r="D194" s="6" t="s">
        <v>1</v>
      </c>
      <c r="E194" t="s">
        <v>2</v>
      </c>
      <c r="F194" t="s">
        <v>8</v>
      </c>
      <c r="G194" t="s">
        <v>10</v>
      </c>
      <c r="H194" t="s">
        <v>15</v>
      </c>
      <c r="I194" t="s">
        <v>6</v>
      </c>
      <c r="J194" s="4">
        <v>93.7</v>
      </c>
      <c r="K194" s="4">
        <v>157.30000000000001</v>
      </c>
      <c r="L194" s="4">
        <v>63.8</v>
      </c>
      <c r="M194" s="4">
        <v>50.6</v>
      </c>
      <c r="N194" s="4">
        <v>1967</v>
      </c>
      <c r="O194" t="s">
        <v>16</v>
      </c>
      <c r="P194" t="s">
        <v>8</v>
      </c>
      <c r="Q194" s="4">
        <v>90</v>
      </c>
      <c r="R194" t="s">
        <v>25</v>
      </c>
      <c r="S194">
        <v>2.97</v>
      </c>
      <c r="T194">
        <v>3.23</v>
      </c>
      <c r="U194">
        <v>9.4</v>
      </c>
      <c r="V194" s="4">
        <v>68</v>
      </c>
      <c r="W194">
        <v>5500</v>
      </c>
      <c r="X194">
        <v>31</v>
      </c>
      <c r="Y194">
        <v>38</v>
      </c>
      <c r="Z194" s="4">
        <v>6229</v>
      </c>
    </row>
    <row r="195" spans="1:26" x14ac:dyDescent="0.35">
      <c r="A195">
        <v>1</v>
      </c>
      <c r="B195" s="4">
        <v>154</v>
      </c>
      <c r="C195" s="6" t="s">
        <v>47</v>
      </c>
      <c r="D195" s="6" t="s">
        <v>1</v>
      </c>
      <c r="E195" t="s">
        <v>2</v>
      </c>
      <c r="F195" t="s">
        <v>8</v>
      </c>
      <c r="G195" t="s">
        <v>10</v>
      </c>
      <c r="H195" t="s">
        <v>15</v>
      </c>
      <c r="I195" t="s">
        <v>6</v>
      </c>
      <c r="J195" s="4">
        <v>93.7</v>
      </c>
      <c r="K195" s="4">
        <v>157.30000000000001</v>
      </c>
      <c r="L195" s="4">
        <v>63.8</v>
      </c>
      <c r="M195" s="4">
        <v>50.6</v>
      </c>
      <c r="N195" s="4">
        <v>1967</v>
      </c>
      <c r="O195" t="s">
        <v>16</v>
      </c>
      <c r="P195" t="s">
        <v>8</v>
      </c>
      <c r="Q195" s="4">
        <v>90</v>
      </c>
      <c r="R195" t="s">
        <v>25</v>
      </c>
      <c r="S195">
        <v>2.97</v>
      </c>
      <c r="T195">
        <v>3.23</v>
      </c>
      <c r="U195">
        <v>9.4</v>
      </c>
      <c r="V195" s="4">
        <v>68</v>
      </c>
      <c r="W195">
        <v>5500</v>
      </c>
      <c r="X195">
        <v>31</v>
      </c>
      <c r="Y195">
        <v>38</v>
      </c>
      <c r="Z195" s="4">
        <v>6229</v>
      </c>
    </row>
    <row r="196" spans="1:26" x14ac:dyDescent="0.35">
      <c r="A196">
        <v>2</v>
      </c>
      <c r="B196" s="4">
        <v>161</v>
      </c>
      <c r="C196" s="6" t="s">
        <v>43</v>
      </c>
      <c r="D196" s="6" t="s">
        <v>1</v>
      </c>
      <c r="E196" t="s">
        <v>2</v>
      </c>
      <c r="F196" t="s">
        <v>3</v>
      </c>
      <c r="G196" t="s">
        <v>10</v>
      </c>
      <c r="H196" t="s">
        <v>15</v>
      </c>
      <c r="I196" t="s">
        <v>6</v>
      </c>
      <c r="J196" s="4">
        <v>93.7</v>
      </c>
      <c r="K196" s="4">
        <v>157.30000000000001</v>
      </c>
      <c r="L196" s="4">
        <v>64.400000000000006</v>
      </c>
      <c r="M196" s="4">
        <v>50.8</v>
      </c>
      <c r="N196" s="4">
        <v>1944</v>
      </c>
      <c r="O196" t="s">
        <v>16</v>
      </c>
      <c r="P196" t="s">
        <v>8</v>
      </c>
      <c r="Q196" s="4">
        <v>92</v>
      </c>
      <c r="R196" t="s">
        <v>25</v>
      </c>
      <c r="S196">
        <v>2.97</v>
      </c>
      <c r="T196">
        <v>3.23</v>
      </c>
      <c r="U196">
        <v>9.4</v>
      </c>
      <c r="V196" s="4">
        <v>68</v>
      </c>
      <c r="W196">
        <v>5500</v>
      </c>
      <c r="X196">
        <v>31</v>
      </c>
      <c r="Y196">
        <v>38</v>
      </c>
      <c r="Z196" s="4">
        <v>6189</v>
      </c>
    </row>
    <row r="197" spans="1:26" x14ac:dyDescent="0.35">
      <c r="A197">
        <v>1</v>
      </c>
      <c r="B197" s="4">
        <v>104</v>
      </c>
      <c r="C197" s="6" t="s">
        <v>34</v>
      </c>
      <c r="D197" s="6" t="s">
        <v>1</v>
      </c>
      <c r="E197" t="s">
        <v>2</v>
      </c>
      <c r="F197" t="s">
        <v>3</v>
      </c>
      <c r="G197" t="s">
        <v>10</v>
      </c>
      <c r="H197" t="s">
        <v>15</v>
      </c>
      <c r="I197" t="s">
        <v>6</v>
      </c>
      <c r="J197" s="4">
        <v>93.1</v>
      </c>
      <c r="K197" s="4">
        <v>159.1</v>
      </c>
      <c r="L197" s="4">
        <v>64.2</v>
      </c>
      <c r="M197" s="4">
        <v>54.1</v>
      </c>
      <c r="N197" s="4">
        <v>1900</v>
      </c>
      <c r="O197" t="s">
        <v>16</v>
      </c>
      <c r="P197" t="s">
        <v>8</v>
      </c>
      <c r="Q197" s="4">
        <v>91</v>
      </c>
      <c r="R197" t="s">
        <v>25</v>
      </c>
      <c r="S197">
        <v>3.03</v>
      </c>
      <c r="T197">
        <v>3.15</v>
      </c>
      <c r="U197">
        <v>9</v>
      </c>
      <c r="V197" s="4">
        <v>68</v>
      </c>
      <c r="W197">
        <v>5000</v>
      </c>
      <c r="X197">
        <v>31</v>
      </c>
      <c r="Y197">
        <v>38</v>
      </c>
      <c r="Z197" s="4">
        <v>6095</v>
      </c>
    </row>
    <row r="198" spans="1:26" x14ac:dyDescent="0.35">
      <c r="A198">
        <v>1</v>
      </c>
      <c r="B198" s="4">
        <v>118</v>
      </c>
      <c r="C198" s="6" t="s">
        <v>26</v>
      </c>
      <c r="D198" s="6" t="s">
        <v>1</v>
      </c>
      <c r="E198" t="s">
        <v>2</v>
      </c>
      <c r="F198" t="s">
        <v>3</v>
      </c>
      <c r="G198" t="s">
        <v>10</v>
      </c>
      <c r="H198" t="s">
        <v>15</v>
      </c>
      <c r="I198" t="s">
        <v>6</v>
      </c>
      <c r="J198" s="4">
        <v>93.7</v>
      </c>
      <c r="K198" s="4">
        <v>157.30000000000001</v>
      </c>
      <c r="L198" s="4">
        <v>63.8</v>
      </c>
      <c r="M198" s="4">
        <v>50.8</v>
      </c>
      <c r="N198" s="4">
        <v>1876</v>
      </c>
      <c r="O198" t="s">
        <v>16</v>
      </c>
      <c r="P198" t="s">
        <v>8</v>
      </c>
      <c r="Q198" s="4">
        <v>90</v>
      </c>
      <c r="R198" t="s">
        <v>25</v>
      </c>
      <c r="S198">
        <v>2.97</v>
      </c>
      <c r="T198">
        <v>3.23</v>
      </c>
      <c r="U198">
        <v>9.41</v>
      </c>
      <c r="V198" s="4">
        <v>68</v>
      </c>
      <c r="W198">
        <v>5500</v>
      </c>
      <c r="X198">
        <v>37</v>
      </c>
      <c r="Y198">
        <v>41</v>
      </c>
      <c r="Z198" s="4">
        <v>5572</v>
      </c>
    </row>
    <row r="199" spans="1:26" x14ac:dyDescent="0.35">
      <c r="A199">
        <v>1</v>
      </c>
      <c r="B199" s="4">
        <v>119</v>
      </c>
      <c r="C199" s="6" t="s">
        <v>47</v>
      </c>
      <c r="D199" s="6" t="s">
        <v>1</v>
      </c>
      <c r="E199" t="s">
        <v>2</v>
      </c>
      <c r="F199" t="s">
        <v>3</v>
      </c>
      <c r="G199" t="s">
        <v>10</v>
      </c>
      <c r="H199" t="s">
        <v>15</v>
      </c>
      <c r="I199" t="s">
        <v>6</v>
      </c>
      <c r="J199" s="4">
        <v>93.7</v>
      </c>
      <c r="K199" s="4">
        <v>157.30000000000001</v>
      </c>
      <c r="L199" s="4">
        <v>63.8</v>
      </c>
      <c r="M199" s="4">
        <v>50.8</v>
      </c>
      <c r="N199" s="4">
        <v>1918</v>
      </c>
      <c r="O199" t="s">
        <v>16</v>
      </c>
      <c r="P199" t="s">
        <v>8</v>
      </c>
      <c r="Q199" s="4">
        <v>90</v>
      </c>
      <c r="R199" t="s">
        <v>25</v>
      </c>
      <c r="S199">
        <v>2.97</v>
      </c>
      <c r="T199">
        <v>3.23</v>
      </c>
      <c r="U199">
        <v>9.4</v>
      </c>
      <c r="V199" s="4">
        <v>68</v>
      </c>
      <c r="W199">
        <v>5500</v>
      </c>
      <c r="X199">
        <v>37</v>
      </c>
      <c r="Y199">
        <v>41</v>
      </c>
      <c r="Z199" s="4">
        <v>5572</v>
      </c>
    </row>
    <row r="200" spans="1:26" x14ac:dyDescent="0.35">
      <c r="A200">
        <v>1</v>
      </c>
      <c r="B200" s="4">
        <v>128</v>
      </c>
      <c r="C200" s="6" t="s">
        <v>45</v>
      </c>
      <c r="D200" s="6" t="s">
        <v>1</v>
      </c>
      <c r="E200" t="s">
        <v>2</v>
      </c>
      <c r="F200" t="s">
        <v>3</v>
      </c>
      <c r="G200" t="s">
        <v>14</v>
      </c>
      <c r="H200" t="s">
        <v>15</v>
      </c>
      <c r="I200" t="s">
        <v>6</v>
      </c>
      <c r="J200" s="4">
        <v>94.5</v>
      </c>
      <c r="K200" s="4">
        <v>165.3</v>
      </c>
      <c r="L200" s="4">
        <v>63.8</v>
      </c>
      <c r="M200" s="4">
        <v>54.5</v>
      </c>
      <c r="N200" s="4">
        <v>1889</v>
      </c>
      <c r="O200" t="s">
        <v>16</v>
      </c>
      <c r="P200" t="s">
        <v>8</v>
      </c>
      <c r="Q200" s="4">
        <v>97</v>
      </c>
      <c r="R200" t="s">
        <v>25</v>
      </c>
      <c r="S200">
        <v>3.15</v>
      </c>
      <c r="T200">
        <v>3.29</v>
      </c>
      <c r="U200">
        <v>9.4</v>
      </c>
      <c r="V200" s="4">
        <v>69</v>
      </c>
      <c r="W200">
        <v>5200</v>
      </c>
      <c r="X200">
        <v>31</v>
      </c>
      <c r="Y200">
        <v>37</v>
      </c>
      <c r="Z200" s="4">
        <v>5499</v>
      </c>
    </row>
    <row r="201" spans="1:26" x14ac:dyDescent="0.35">
      <c r="A201">
        <v>1</v>
      </c>
      <c r="B201" s="4">
        <v>101</v>
      </c>
      <c r="C201" s="6" t="s">
        <v>28</v>
      </c>
      <c r="D201" s="6" t="s">
        <v>1</v>
      </c>
      <c r="E201" t="s">
        <v>2</v>
      </c>
      <c r="F201" t="s">
        <v>3</v>
      </c>
      <c r="G201" t="s">
        <v>10</v>
      </c>
      <c r="H201" t="s">
        <v>15</v>
      </c>
      <c r="I201" t="s">
        <v>6</v>
      </c>
      <c r="J201" s="4">
        <v>93.7</v>
      </c>
      <c r="K201" s="4">
        <v>150</v>
      </c>
      <c r="L201" s="4">
        <v>64</v>
      </c>
      <c r="M201" s="4">
        <v>52.6</v>
      </c>
      <c r="N201" s="4">
        <v>1837</v>
      </c>
      <c r="O201" t="s">
        <v>16</v>
      </c>
      <c r="P201" t="s">
        <v>8</v>
      </c>
      <c r="Q201" s="4">
        <v>79</v>
      </c>
      <c r="R201" t="s">
        <v>29</v>
      </c>
      <c r="S201">
        <v>2.91</v>
      </c>
      <c r="T201">
        <v>3.07</v>
      </c>
      <c r="U201">
        <v>10.1</v>
      </c>
      <c r="V201" s="4">
        <v>60</v>
      </c>
      <c r="W201">
        <v>5500</v>
      </c>
      <c r="X201">
        <v>38</v>
      </c>
      <c r="Y201">
        <v>42</v>
      </c>
      <c r="Z201" s="4">
        <v>5399</v>
      </c>
    </row>
    <row r="202" spans="1:26" x14ac:dyDescent="0.35">
      <c r="A202">
        <v>2</v>
      </c>
      <c r="B202" s="4">
        <v>161</v>
      </c>
      <c r="C202" s="6" t="s">
        <v>43</v>
      </c>
      <c r="D202" s="6" t="s">
        <v>1</v>
      </c>
      <c r="E202" t="s">
        <v>2</v>
      </c>
      <c r="F202" t="s">
        <v>3</v>
      </c>
      <c r="G202" t="s">
        <v>10</v>
      </c>
      <c r="H202" t="s">
        <v>15</v>
      </c>
      <c r="I202" t="s">
        <v>6</v>
      </c>
      <c r="J202" s="4">
        <v>93.7</v>
      </c>
      <c r="K202" s="4">
        <v>157.30000000000001</v>
      </c>
      <c r="L202" s="4">
        <v>64.400000000000006</v>
      </c>
      <c r="M202" s="4">
        <v>50.8</v>
      </c>
      <c r="N202" s="4">
        <v>1918</v>
      </c>
      <c r="O202" t="s">
        <v>16</v>
      </c>
      <c r="P202" t="s">
        <v>8</v>
      </c>
      <c r="Q202" s="4">
        <v>92</v>
      </c>
      <c r="R202" t="s">
        <v>25</v>
      </c>
      <c r="S202">
        <v>2.97</v>
      </c>
      <c r="T202">
        <v>3.23</v>
      </c>
      <c r="U202">
        <v>9.4</v>
      </c>
      <c r="V202" s="4">
        <v>68</v>
      </c>
      <c r="W202">
        <v>5500</v>
      </c>
      <c r="X202">
        <v>37</v>
      </c>
      <c r="Y202">
        <v>41</v>
      </c>
      <c r="Z202" s="4">
        <v>5389</v>
      </c>
    </row>
    <row r="203" spans="1:26" x14ac:dyDescent="0.35">
      <c r="A203">
        <v>1</v>
      </c>
      <c r="B203" s="4">
        <v>87</v>
      </c>
      <c r="C203" s="6" t="s">
        <v>55</v>
      </c>
      <c r="D203" s="6" t="s">
        <v>1</v>
      </c>
      <c r="E203" t="s">
        <v>2</v>
      </c>
      <c r="F203" t="s">
        <v>3</v>
      </c>
      <c r="G203" t="s">
        <v>10</v>
      </c>
      <c r="H203" t="s">
        <v>15</v>
      </c>
      <c r="I203" t="s">
        <v>6</v>
      </c>
      <c r="J203" s="4">
        <v>95.7</v>
      </c>
      <c r="K203" s="4">
        <v>158.69999999999999</v>
      </c>
      <c r="L203" s="4">
        <v>63.6</v>
      </c>
      <c r="M203" s="4">
        <v>54.5</v>
      </c>
      <c r="N203" s="4">
        <v>1985</v>
      </c>
      <c r="O203" t="s">
        <v>16</v>
      </c>
      <c r="P203" t="s">
        <v>8</v>
      </c>
      <c r="Q203" s="4">
        <v>92</v>
      </c>
      <c r="R203" t="s">
        <v>25</v>
      </c>
      <c r="S203">
        <v>3.05</v>
      </c>
      <c r="T203">
        <v>3.03</v>
      </c>
      <c r="U203">
        <v>9</v>
      </c>
      <c r="V203" s="4">
        <v>62</v>
      </c>
      <c r="W203">
        <v>4800</v>
      </c>
      <c r="X203">
        <v>35</v>
      </c>
      <c r="Y203">
        <v>39</v>
      </c>
      <c r="Z203" s="4">
        <v>5348</v>
      </c>
    </row>
    <row r="204" spans="1:26" x14ac:dyDescent="0.35">
      <c r="A204">
        <v>1</v>
      </c>
      <c r="B204" s="4">
        <v>104</v>
      </c>
      <c r="C204" s="6" t="s">
        <v>34</v>
      </c>
      <c r="D204" s="6" t="s">
        <v>1</v>
      </c>
      <c r="E204" t="s">
        <v>2</v>
      </c>
      <c r="F204" t="s">
        <v>3</v>
      </c>
      <c r="G204" t="s">
        <v>10</v>
      </c>
      <c r="H204" t="s">
        <v>15</v>
      </c>
      <c r="I204" t="s">
        <v>6</v>
      </c>
      <c r="J204" s="4">
        <v>93.1</v>
      </c>
      <c r="K204" s="4">
        <v>159.1</v>
      </c>
      <c r="L204" s="4">
        <v>64.2</v>
      </c>
      <c r="M204" s="4">
        <v>54.1</v>
      </c>
      <c r="N204" s="4">
        <v>1890</v>
      </c>
      <c r="O204" t="s">
        <v>16</v>
      </c>
      <c r="P204" t="s">
        <v>8</v>
      </c>
      <c r="Q204" s="4">
        <v>91</v>
      </c>
      <c r="R204" t="s">
        <v>25</v>
      </c>
      <c r="S204">
        <v>3.03</v>
      </c>
      <c r="T204">
        <v>3.15</v>
      </c>
      <c r="U204">
        <v>9</v>
      </c>
      <c r="V204" s="4">
        <v>68</v>
      </c>
      <c r="W204">
        <v>5000</v>
      </c>
      <c r="X204">
        <v>30</v>
      </c>
      <c r="Y204">
        <v>31</v>
      </c>
      <c r="Z204" s="4">
        <v>5195</v>
      </c>
    </row>
    <row r="205" spans="1:26" x14ac:dyDescent="0.35">
      <c r="A205">
        <v>2</v>
      </c>
      <c r="B205" s="4">
        <v>121</v>
      </c>
      <c r="C205" s="6" t="s">
        <v>22</v>
      </c>
      <c r="D205" s="6" t="s">
        <v>1</v>
      </c>
      <c r="E205" t="s">
        <v>2</v>
      </c>
      <c r="F205" t="s">
        <v>3</v>
      </c>
      <c r="G205" t="s">
        <v>10</v>
      </c>
      <c r="H205" t="s">
        <v>15</v>
      </c>
      <c r="I205" t="s">
        <v>6</v>
      </c>
      <c r="J205" s="4">
        <v>88.4</v>
      </c>
      <c r="K205" s="4">
        <v>141.1</v>
      </c>
      <c r="L205" s="4">
        <v>60.3</v>
      </c>
      <c r="M205" s="4">
        <v>53.2</v>
      </c>
      <c r="N205" s="4">
        <v>1488</v>
      </c>
      <c r="O205" t="s">
        <v>23</v>
      </c>
      <c r="P205" t="s">
        <v>24</v>
      </c>
      <c r="Q205" s="4">
        <v>61</v>
      </c>
      <c r="R205" t="s">
        <v>25</v>
      </c>
      <c r="S205">
        <v>2.91</v>
      </c>
      <c r="T205">
        <v>3.03</v>
      </c>
      <c r="U205">
        <v>9.5</v>
      </c>
      <c r="V205" s="4">
        <v>48</v>
      </c>
      <c r="W205">
        <v>5100</v>
      </c>
      <c r="X205">
        <v>47</v>
      </c>
      <c r="Y205">
        <v>53</v>
      </c>
      <c r="Z205" s="4">
        <v>5151</v>
      </c>
    </row>
    <row r="206" spans="1:26" x14ac:dyDescent="0.35">
      <c r="A206">
        <v>2</v>
      </c>
      <c r="B206" s="4">
        <v>83</v>
      </c>
      <c r="C206" s="6" t="s">
        <v>54</v>
      </c>
      <c r="D206" s="6" t="s">
        <v>1</v>
      </c>
      <c r="E206" t="s">
        <v>2</v>
      </c>
      <c r="F206" t="s">
        <v>3</v>
      </c>
      <c r="G206" t="s">
        <v>10</v>
      </c>
      <c r="H206" t="s">
        <v>15</v>
      </c>
      <c r="I206" t="s">
        <v>6</v>
      </c>
      <c r="J206" s="4">
        <v>93.7</v>
      </c>
      <c r="K206" s="4">
        <v>156.9</v>
      </c>
      <c r="L206" s="4">
        <v>63.4</v>
      </c>
      <c r="M206" s="4">
        <v>53.7</v>
      </c>
      <c r="N206" s="4">
        <v>2050</v>
      </c>
      <c r="O206" t="s">
        <v>50</v>
      </c>
      <c r="P206" t="s">
        <v>8</v>
      </c>
      <c r="Q206" s="4">
        <v>97</v>
      </c>
      <c r="R206" t="s">
        <v>25</v>
      </c>
      <c r="S206">
        <v>3.62</v>
      </c>
      <c r="T206">
        <v>2.36</v>
      </c>
      <c r="U206">
        <v>9</v>
      </c>
      <c r="V206" s="4">
        <v>69</v>
      </c>
      <c r="W206">
        <v>4900</v>
      </c>
      <c r="X206">
        <v>31</v>
      </c>
      <c r="Y206">
        <v>36</v>
      </c>
      <c r="Z206" s="4">
        <v>5118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5EE8-1C37-4D5B-8AF5-F21497AF670D}">
  <dimension ref="A1:D28"/>
  <sheetViews>
    <sheetView workbookViewId="0">
      <selection activeCell="D23" sqref="D23"/>
    </sheetView>
  </sheetViews>
  <sheetFormatPr defaultRowHeight="14.5" x14ac:dyDescent="0.35"/>
  <cols>
    <col min="1" max="1" width="29.08984375" bestFit="1" customWidth="1"/>
    <col min="2" max="2" width="11.08984375" bestFit="1" customWidth="1"/>
  </cols>
  <sheetData>
    <row r="1" spans="1:4" x14ac:dyDescent="0.35">
      <c r="A1" s="12" t="s">
        <v>90</v>
      </c>
      <c r="B1" s="12" t="s">
        <v>91</v>
      </c>
    </row>
    <row r="2" spans="1:4" x14ac:dyDescent="0.35">
      <c r="A2" t="s">
        <v>85</v>
      </c>
      <c r="B2" s="11">
        <f>AVERAGE(Auto!Z:Z)</f>
        <v>13207.129353233831</v>
      </c>
    </row>
    <row r="3" spans="1:4" x14ac:dyDescent="0.35">
      <c r="A3" t="s">
        <v>86</v>
      </c>
      <c r="B3" s="11">
        <f>MIN(Auto!Z:Z)</f>
        <v>5118</v>
      </c>
    </row>
    <row r="4" spans="1:4" x14ac:dyDescent="0.35">
      <c r="A4" t="s">
        <v>87</v>
      </c>
      <c r="B4" s="11">
        <f>MAX(Auto!Z:Z)</f>
        <v>45400</v>
      </c>
    </row>
    <row r="5" spans="1:4" x14ac:dyDescent="0.35">
      <c r="A5" t="s">
        <v>88</v>
      </c>
      <c r="B5" s="11">
        <f>(B4-B3)</f>
        <v>40282</v>
      </c>
      <c r="C5" s="4"/>
      <c r="D5" s="4"/>
    </row>
    <row r="7" spans="1:4" x14ac:dyDescent="0.35">
      <c r="A7" t="s">
        <v>89</v>
      </c>
      <c r="B7" s="4">
        <f>AVERAGE(Auto!V:V)</f>
        <v>104.25615763546799</v>
      </c>
    </row>
    <row r="8" spans="1:4" x14ac:dyDescent="0.35">
      <c r="A8" t="s">
        <v>93</v>
      </c>
      <c r="B8" s="4">
        <f>MIN(Auto!V:V)</f>
        <v>48</v>
      </c>
    </row>
    <row r="9" spans="1:4" x14ac:dyDescent="0.35">
      <c r="A9" t="s">
        <v>92</v>
      </c>
      <c r="B9" s="4">
        <f>MAX(Auto!V:V)</f>
        <v>288</v>
      </c>
    </row>
    <row r="11" spans="1:4" x14ac:dyDescent="0.35">
      <c r="A11" t="s">
        <v>94</v>
      </c>
      <c r="B11" s="4">
        <f>AVERAGE(Auto!X:X)</f>
        <v>25.219512195121951</v>
      </c>
    </row>
    <row r="12" spans="1:4" x14ac:dyDescent="0.35">
      <c r="A12" t="s">
        <v>96</v>
      </c>
      <c r="B12" s="4">
        <f>AVERAGE(Auto!Y:Y)</f>
        <v>30.751219512195121</v>
      </c>
    </row>
    <row r="13" spans="1:4" x14ac:dyDescent="0.35">
      <c r="A13" t="s">
        <v>95</v>
      </c>
      <c r="B13" s="4">
        <f>(B12-B11)</f>
        <v>5.5317073170731703</v>
      </c>
    </row>
    <row r="15" spans="1:4" x14ac:dyDescent="0.35">
      <c r="A15" t="s">
        <v>97</v>
      </c>
      <c r="B15" s="11">
        <f>AVERAGEIF(Auto!D:D,  "gas", Auto!Z:Z)</f>
        <v>12916.408839779006</v>
      </c>
    </row>
    <row r="16" spans="1:4" x14ac:dyDescent="0.35">
      <c r="A16" t="s">
        <v>98</v>
      </c>
      <c r="B16" s="11">
        <f>AVERAGEIF(Auto!D:D, "diesel",Auto!Z:Z)</f>
        <v>15838.15</v>
      </c>
    </row>
    <row r="17" spans="1:2" x14ac:dyDescent="0.35">
      <c r="A17" t="s">
        <v>99</v>
      </c>
      <c r="B17" s="11">
        <f>AVERAGEIF(Auto!E:E,  "std", Auto!Z:Z)</f>
        <v>12542.181818181818</v>
      </c>
    </row>
    <row r="18" spans="1:2" x14ac:dyDescent="0.35">
      <c r="A18" t="s">
        <v>100</v>
      </c>
      <c r="B18" s="11">
        <f>AVERAGEIF(Auto!E:E, "turbo", Auto!Z:Z)</f>
        <v>16254.805555555555</v>
      </c>
    </row>
    <row r="20" spans="1:2" x14ac:dyDescent="0.35">
      <c r="A20" t="s">
        <v>101</v>
      </c>
    </row>
    <row r="21" spans="1:2" x14ac:dyDescent="0.35">
      <c r="A21" t="s">
        <v>102</v>
      </c>
      <c r="B21" s="11">
        <f>AVERAGEIF(Auto!G:G, "sedan",Auto!Z:Z)</f>
        <v>14459.755319148937</v>
      </c>
    </row>
    <row r="22" spans="1:2" x14ac:dyDescent="0.35">
      <c r="A22" t="s">
        <v>103</v>
      </c>
      <c r="B22" s="11">
        <f>AVERAGEIF(Auto!G:G,"hatchback", Auto!Z:Z)</f>
        <v>9957.4411764705874</v>
      </c>
    </row>
    <row r="23" spans="1:2" x14ac:dyDescent="0.35">
      <c r="A23" t="s">
        <v>104</v>
      </c>
      <c r="B23" s="11">
        <f>AVERAGEIF(Auto!G:G, "hatchback",Auto!Z:Z)</f>
        <v>9957.4411764705874</v>
      </c>
    </row>
    <row r="24" spans="1:2" x14ac:dyDescent="0.35">
      <c r="A24" t="s">
        <v>105</v>
      </c>
      <c r="B24" s="11">
        <f>AVERAGEIF(Auto!G:G, "hardtop",Auto!Z:Z)</f>
        <v>22208.5</v>
      </c>
    </row>
    <row r="25" spans="1:2" x14ac:dyDescent="0.35">
      <c r="A25" t="s">
        <v>106</v>
      </c>
      <c r="B25" s="11">
        <f>AVERAGEIF(Auto!G:G, "convertible",Auto!Z:Z)</f>
        <v>21890.5</v>
      </c>
    </row>
    <row r="27" spans="1:2" x14ac:dyDescent="0.35">
      <c r="A27" t="s">
        <v>107</v>
      </c>
      <c r="B27" s="13">
        <v>22209</v>
      </c>
    </row>
    <row r="28" spans="1:2" x14ac:dyDescent="0.35">
      <c r="A28" t="s">
        <v>108</v>
      </c>
      <c r="B28" s="14">
        <v>9957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25F6-FF4F-4703-9553-F6DFAA757423}">
  <dimension ref="A1:J1"/>
  <sheetViews>
    <sheetView zoomScale="44" zoomScaleNormal="75" workbookViewId="0">
      <selection activeCell="G1" sqref="G1"/>
    </sheetView>
  </sheetViews>
  <sheetFormatPr defaultRowHeight="14.5" x14ac:dyDescent="0.35"/>
  <cols>
    <col min="7" max="7" width="103.81640625" bestFit="1" customWidth="1"/>
    <col min="8" max="8" width="10.81640625" bestFit="1" customWidth="1"/>
  </cols>
  <sheetData>
    <row r="1" spans="1:10" ht="52" thickBot="1" x14ac:dyDescent="1.25">
      <c r="A1" s="18"/>
      <c r="G1" s="20" t="s">
        <v>115</v>
      </c>
      <c r="H1" s="21"/>
      <c r="I1" s="19"/>
      <c r="J1"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54E0-2A16-4CD2-826B-1E8028A6DC7F}">
  <dimension ref="A3:K42"/>
  <sheetViews>
    <sheetView topLeftCell="A19" workbookViewId="0">
      <selection activeCell="B36" sqref="B36"/>
    </sheetView>
  </sheetViews>
  <sheetFormatPr defaultRowHeight="14.5" x14ac:dyDescent="0.35"/>
  <cols>
    <col min="1" max="1" width="12.36328125" bestFit="1" customWidth="1"/>
    <col min="2" max="2" width="14.36328125" bestFit="1" customWidth="1"/>
    <col min="4" max="4" width="13.6328125" bestFit="1" customWidth="1"/>
    <col min="5" max="5" width="19" bestFit="1" customWidth="1"/>
    <col min="7" max="7" width="13.6328125" bestFit="1" customWidth="1"/>
    <col min="8" max="8" width="20.6328125" bestFit="1" customWidth="1"/>
    <col min="10" max="10" width="13.6328125" bestFit="1" customWidth="1"/>
    <col min="11" max="11" width="20" bestFit="1" customWidth="1"/>
  </cols>
  <sheetData>
    <row r="3" spans="1:11" x14ac:dyDescent="0.35">
      <c r="A3" s="15" t="s">
        <v>109</v>
      </c>
      <c r="B3" t="s">
        <v>111</v>
      </c>
      <c r="D3" s="15" t="s">
        <v>109</v>
      </c>
      <c r="E3" t="s">
        <v>111</v>
      </c>
      <c r="G3" s="15" t="s">
        <v>109</v>
      </c>
      <c r="H3" t="s">
        <v>112</v>
      </c>
      <c r="J3" s="15" t="s">
        <v>109</v>
      </c>
      <c r="K3" t="s">
        <v>114</v>
      </c>
    </row>
    <row r="4" spans="1:11" x14ac:dyDescent="0.35">
      <c r="A4" s="16" t="s">
        <v>4</v>
      </c>
      <c r="B4" s="17">
        <v>21890.5</v>
      </c>
      <c r="D4" s="16" t="s">
        <v>37</v>
      </c>
      <c r="E4" s="17">
        <v>15838.15</v>
      </c>
      <c r="G4" s="16" t="s">
        <v>0</v>
      </c>
      <c r="H4" s="17">
        <v>125.33333333333333</v>
      </c>
      <c r="J4" s="16" t="s">
        <v>0</v>
      </c>
      <c r="K4" s="17">
        <v>137.33333333333334</v>
      </c>
    </row>
    <row r="5" spans="1:11" x14ac:dyDescent="0.35">
      <c r="A5" s="16" t="s">
        <v>40</v>
      </c>
      <c r="B5" s="17">
        <v>22208.5</v>
      </c>
      <c r="D5" s="16" t="s">
        <v>1</v>
      </c>
      <c r="E5" s="17">
        <v>12916.408839779006</v>
      </c>
      <c r="G5" s="16" t="s">
        <v>13</v>
      </c>
      <c r="H5" s="17">
        <v>121</v>
      </c>
      <c r="J5" s="16" t="s">
        <v>13</v>
      </c>
      <c r="K5" s="17">
        <v>130.71428571428572</v>
      </c>
    </row>
    <row r="6" spans="1:11" x14ac:dyDescent="0.35">
      <c r="A6" s="16" t="s">
        <v>10</v>
      </c>
      <c r="B6" s="17">
        <v>9957.4411764705874</v>
      </c>
      <c r="D6" s="16" t="s">
        <v>110</v>
      </c>
      <c r="E6" s="17">
        <v>13207.129353233831</v>
      </c>
      <c r="G6" s="16" t="s">
        <v>21</v>
      </c>
      <c r="H6" s="17">
        <v>138.875</v>
      </c>
      <c r="J6" s="16" t="s">
        <v>21</v>
      </c>
      <c r="K6" s="17">
        <v>166.875</v>
      </c>
    </row>
    <row r="7" spans="1:11" x14ac:dyDescent="0.35">
      <c r="A7" s="16" t="s">
        <v>14</v>
      </c>
      <c r="B7" s="17">
        <v>14459.755319148937</v>
      </c>
      <c r="G7" s="16" t="s">
        <v>22</v>
      </c>
      <c r="H7" s="17">
        <v>62.666666666666664</v>
      </c>
      <c r="J7" s="16" t="s">
        <v>22</v>
      </c>
      <c r="K7" s="17">
        <v>80.333333333333329</v>
      </c>
    </row>
    <row r="8" spans="1:11" x14ac:dyDescent="0.35">
      <c r="A8" s="16" t="s">
        <v>19</v>
      </c>
      <c r="B8" s="17">
        <v>12371.96</v>
      </c>
      <c r="G8" s="16" t="s">
        <v>26</v>
      </c>
      <c r="H8" s="17">
        <v>86.333333333333329</v>
      </c>
      <c r="J8" s="16" t="s">
        <v>26</v>
      </c>
      <c r="K8" s="17">
        <v>102.66666666666667</v>
      </c>
    </row>
    <row r="9" spans="1:11" x14ac:dyDescent="0.35">
      <c r="A9" s="16" t="s">
        <v>110</v>
      </c>
      <c r="B9" s="17">
        <v>13207.129353233831</v>
      </c>
      <c r="G9" s="16" t="s">
        <v>28</v>
      </c>
      <c r="H9" s="17">
        <v>80.230769230769226</v>
      </c>
      <c r="J9" s="16" t="s">
        <v>28</v>
      </c>
      <c r="K9" s="17">
        <v>99.307692307692307</v>
      </c>
    </row>
    <row r="10" spans="1:11" x14ac:dyDescent="0.35">
      <c r="G10" s="16" t="s">
        <v>30</v>
      </c>
      <c r="H10" s="17">
        <v>77</v>
      </c>
      <c r="J10" s="16" t="s">
        <v>30</v>
      </c>
      <c r="K10" s="17">
        <v>102.5</v>
      </c>
    </row>
    <row r="11" spans="1:11" x14ac:dyDescent="0.35">
      <c r="G11" s="16" t="s">
        <v>32</v>
      </c>
      <c r="H11" s="17">
        <v>204.66666666666666</v>
      </c>
      <c r="J11" s="16" t="s">
        <v>32</v>
      </c>
      <c r="K11" s="17">
        <v>280.66666666666669</v>
      </c>
    </row>
    <row r="12" spans="1:11" x14ac:dyDescent="0.35">
      <c r="G12" s="16" t="s">
        <v>34</v>
      </c>
      <c r="H12" s="17">
        <v>85.529411764705884</v>
      </c>
      <c r="J12" s="16" t="s">
        <v>34</v>
      </c>
      <c r="K12" s="17">
        <v>103</v>
      </c>
    </row>
    <row r="13" spans="1:11" x14ac:dyDescent="0.35">
      <c r="A13" s="15" t="s">
        <v>109</v>
      </c>
      <c r="B13" t="s">
        <v>111</v>
      </c>
      <c r="D13" s="15" t="s">
        <v>109</v>
      </c>
      <c r="E13" t="s">
        <v>111</v>
      </c>
      <c r="G13" s="16" t="s">
        <v>39</v>
      </c>
      <c r="H13" s="17">
        <v>146.25</v>
      </c>
      <c r="J13" s="16" t="s">
        <v>39</v>
      </c>
      <c r="K13" s="17">
        <v>226.5</v>
      </c>
    </row>
    <row r="14" spans="1:11" x14ac:dyDescent="0.35">
      <c r="A14" s="16" t="s">
        <v>0</v>
      </c>
      <c r="B14" s="17">
        <v>15498.333333333334</v>
      </c>
      <c r="D14" s="16" t="s">
        <v>2</v>
      </c>
      <c r="E14" s="17">
        <v>12542.181818181818</v>
      </c>
      <c r="G14" s="16" t="s">
        <v>42</v>
      </c>
      <c r="H14" s="17">
        <v>175</v>
      </c>
      <c r="J14" s="16" t="s">
        <v>42</v>
      </c>
      <c r="K14" s="17">
        <v>140</v>
      </c>
    </row>
    <row r="15" spans="1:11" x14ac:dyDescent="0.35">
      <c r="A15" s="16" t="s">
        <v>13</v>
      </c>
      <c r="B15" s="17">
        <v>17859.166666666668</v>
      </c>
      <c r="D15" s="16" t="s">
        <v>20</v>
      </c>
      <c r="E15" s="17">
        <v>16254.805555555555</v>
      </c>
      <c r="G15" s="16" t="s">
        <v>43</v>
      </c>
      <c r="H15" s="17">
        <v>104.07692307692308</v>
      </c>
      <c r="J15" s="16" t="s">
        <v>43</v>
      </c>
      <c r="K15" s="17">
        <v>118.30769230769231</v>
      </c>
    </row>
    <row r="16" spans="1:11" x14ac:dyDescent="0.35">
      <c r="A16" s="16" t="s">
        <v>21</v>
      </c>
      <c r="B16" s="17">
        <v>26118.75</v>
      </c>
      <c r="D16" s="16" t="s">
        <v>110</v>
      </c>
      <c r="E16" s="17">
        <v>13207.129353233831</v>
      </c>
      <c r="G16" s="16" t="s">
        <v>45</v>
      </c>
      <c r="H16" s="17">
        <v>102.55555555555556</v>
      </c>
      <c r="J16" s="16" t="s">
        <v>45</v>
      </c>
      <c r="K16" s="17">
        <v>127.88888888888889</v>
      </c>
    </row>
    <row r="17" spans="1:11" x14ac:dyDescent="0.35">
      <c r="A17" s="16" t="s">
        <v>22</v>
      </c>
      <c r="B17" s="17">
        <v>6007</v>
      </c>
      <c r="G17" s="16" t="s">
        <v>46</v>
      </c>
      <c r="H17" s="17">
        <v>99.818181818181813</v>
      </c>
      <c r="J17" s="16" t="s">
        <v>46</v>
      </c>
      <c r="K17" s="17">
        <v>135.81818181818181</v>
      </c>
    </row>
    <row r="18" spans="1:11" x14ac:dyDescent="0.35">
      <c r="A18" s="16" t="s">
        <v>26</v>
      </c>
      <c r="B18" s="17">
        <v>7875.4444444444443</v>
      </c>
      <c r="G18" s="16" t="s">
        <v>47</v>
      </c>
      <c r="H18" s="17">
        <v>86.714285714285708</v>
      </c>
      <c r="J18" s="16" t="s">
        <v>47</v>
      </c>
      <c r="K18" s="17">
        <v>106.28571428571429</v>
      </c>
    </row>
    <row r="19" spans="1:11" x14ac:dyDescent="0.35">
      <c r="A19" s="16" t="s">
        <v>28</v>
      </c>
      <c r="B19" s="17">
        <v>8184.6923076923076</v>
      </c>
      <c r="D19" s="15" t="s">
        <v>109</v>
      </c>
      <c r="E19" t="s">
        <v>113</v>
      </c>
      <c r="G19" s="16" t="s">
        <v>48</v>
      </c>
      <c r="H19" s="17">
        <v>210.4</v>
      </c>
      <c r="J19" s="16" t="s">
        <v>48</v>
      </c>
      <c r="K19" s="17">
        <v>187.2</v>
      </c>
    </row>
    <row r="20" spans="1:11" x14ac:dyDescent="0.35">
      <c r="A20" s="16" t="s">
        <v>30</v>
      </c>
      <c r="B20" s="17">
        <v>8916.5</v>
      </c>
      <c r="D20" s="16" t="s">
        <v>0</v>
      </c>
      <c r="E20" s="17">
        <v>27</v>
      </c>
      <c r="G20" s="16" t="s">
        <v>52</v>
      </c>
      <c r="H20" s="17"/>
      <c r="J20" s="16" t="s">
        <v>52</v>
      </c>
      <c r="K20" s="17">
        <v>132</v>
      </c>
    </row>
    <row r="21" spans="1:11" x14ac:dyDescent="0.35">
      <c r="A21" s="16" t="s">
        <v>32</v>
      </c>
      <c r="B21" s="17">
        <v>34600</v>
      </c>
      <c r="D21" s="16" t="s">
        <v>13</v>
      </c>
      <c r="E21" s="17">
        <v>30</v>
      </c>
      <c r="G21" s="16" t="s">
        <v>53</v>
      </c>
      <c r="H21" s="17">
        <v>126.66666666666667</v>
      </c>
      <c r="J21" s="16" t="s">
        <v>53</v>
      </c>
      <c r="K21" s="17">
        <v>121</v>
      </c>
    </row>
    <row r="22" spans="1:11" x14ac:dyDescent="0.35">
      <c r="A22" s="16" t="s">
        <v>34</v>
      </c>
      <c r="B22" s="17">
        <v>10652.882352941177</v>
      </c>
      <c r="D22" s="16" t="s">
        <v>21</v>
      </c>
      <c r="E22" s="17">
        <v>29</v>
      </c>
      <c r="G22" s="16" t="s">
        <v>54</v>
      </c>
      <c r="H22" s="17">
        <v>86.25</v>
      </c>
      <c r="J22" s="16" t="s">
        <v>54</v>
      </c>
      <c r="K22" s="17">
        <v>107.08333333333333</v>
      </c>
    </row>
    <row r="23" spans="1:11" x14ac:dyDescent="0.35">
      <c r="A23" s="16" t="s">
        <v>39</v>
      </c>
      <c r="B23" s="17">
        <v>33647</v>
      </c>
      <c r="D23" s="16" t="s">
        <v>22</v>
      </c>
      <c r="E23" s="17">
        <v>53</v>
      </c>
      <c r="G23" s="16" t="s">
        <v>55</v>
      </c>
      <c r="H23" s="17">
        <v>92.78125</v>
      </c>
      <c r="J23" s="16" t="s">
        <v>55</v>
      </c>
      <c r="K23" s="17">
        <v>118.8125</v>
      </c>
    </row>
    <row r="24" spans="1:11" x14ac:dyDescent="0.35">
      <c r="A24" s="16" t="s">
        <v>42</v>
      </c>
      <c r="B24" s="17">
        <v>16503</v>
      </c>
      <c r="D24" s="16" t="s">
        <v>26</v>
      </c>
      <c r="E24" s="17">
        <v>41</v>
      </c>
      <c r="G24" s="16" t="s">
        <v>56</v>
      </c>
      <c r="H24" s="17">
        <v>81.083333333333329</v>
      </c>
      <c r="J24" s="16" t="s">
        <v>56</v>
      </c>
      <c r="K24" s="17">
        <v>107.25</v>
      </c>
    </row>
    <row r="25" spans="1:11" x14ac:dyDescent="0.35">
      <c r="A25" s="16" t="s">
        <v>43</v>
      </c>
      <c r="B25" s="17">
        <v>9239.7692307692305</v>
      </c>
      <c r="D25" s="16" t="s">
        <v>28</v>
      </c>
      <c r="E25" s="17">
        <v>54</v>
      </c>
      <c r="G25" s="16" t="s">
        <v>57</v>
      </c>
      <c r="H25" s="17">
        <v>128</v>
      </c>
      <c r="J25" s="16" t="s">
        <v>57</v>
      </c>
      <c r="K25" s="17">
        <v>142.27272727272728</v>
      </c>
    </row>
    <row r="26" spans="1:11" x14ac:dyDescent="0.35">
      <c r="A26" s="16" t="s">
        <v>45</v>
      </c>
      <c r="B26" s="17">
        <v>10415.666666666666</v>
      </c>
      <c r="D26" s="16" t="s">
        <v>30</v>
      </c>
      <c r="E26" s="17">
        <v>43</v>
      </c>
      <c r="G26" s="16" t="s">
        <v>110</v>
      </c>
      <c r="H26" s="17">
        <v>104.25615763546799</v>
      </c>
      <c r="J26" s="16" t="s">
        <v>110</v>
      </c>
      <c r="K26" s="17">
        <v>126.90731707317073</v>
      </c>
    </row>
    <row r="27" spans="1:11" x14ac:dyDescent="0.35">
      <c r="A27" s="16" t="s">
        <v>46</v>
      </c>
      <c r="B27" s="17">
        <v>15489.09090909091</v>
      </c>
      <c r="D27" s="16" t="s">
        <v>32</v>
      </c>
      <c r="E27" s="17">
        <v>19</v>
      </c>
    </row>
    <row r="28" spans="1:11" x14ac:dyDescent="0.35">
      <c r="A28" s="16" t="s">
        <v>47</v>
      </c>
      <c r="B28" s="17">
        <v>7963.4285714285716</v>
      </c>
      <c r="D28" s="16" t="s">
        <v>34</v>
      </c>
      <c r="E28" s="17">
        <v>42</v>
      </c>
    </row>
    <row r="29" spans="1:11" x14ac:dyDescent="0.35">
      <c r="A29" s="16" t="s">
        <v>48</v>
      </c>
      <c r="B29" s="17">
        <v>31400.5</v>
      </c>
      <c r="D29" s="16" t="s">
        <v>39</v>
      </c>
      <c r="E29" s="17">
        <v>25</v>
      </c>
    </row>
    <row r="30" spans="1:11" x14ac:dyDescent="0.35">
      <c r="A30" s="16" t="s">
        <v>52</v>
      </c>
      <c r="B30" s="17">
        <v>9595</v>
      </c>
      <c r="D30" s="16" t="s">
        <v>42</v>
      </c>
      <c r="E30" s="17">
        <v>24</v>
      </c>
    </row>
    <row r="31" spans="1:11" x14ac:dyDescent="0.35">
      <c r="A31" s="16" t="s">
        <v>53</v>
      </c>
      <c r="B31" s="17">
        <v>15223.333333333334</v>
      </c>
      <c r="D31" s="16" t="s">
        <v>43</v>
      </c>
      <c r="E31" s="17">
        <v>41</v>
      </c>
    </row>
    <row r="32" spans="1:11" x14ac:dyDescent="0.35">
      <c r="A32" s="16" t="s">
        <v>54</v>
      </c>
      <c r="B32" s="17">
        <v>8541.25</v>
      </c>
      <c r="D32" s="16" t="s">
        <v>45</v>
      </c>
      <c r="E32" s="17">
        <v>50</v>
      </c>
    </row>
    <row r="33" spans="1:5" x14ac:dyDescent="0.35">
      <c r="A33" s="16" t="s">
        <v>55</v>
      </c>
      <c r="B33" s="17">
        <v>9885.8125</v>
      </c>
      <c r="D33" s="16" t="s">
        <v>46</v>
      </c>
      <c r="E33" s="17">
        <v>33</v>
      </c>
    </row>
    <row r="34" spans="1:5" x14ac:dyDescent="0.35">
      <c r="A34" s="16" t="s">
        <v>56</v>
      </c>
      <c r="B34" s="17">
        <v>10077.5</v>
      </c>
      <c r="D34" s="16" t="s">
        <v>47</v>
      </c>
      <c r="E34" s="17">
        <v>41</v>
      </c>
    </row>
    <row r="35" spans="1:5" x14ac:dyDescent="0.35">
      <c r="A35" s="16" t="s">
        <v>57</v>
      </c>
      <c r="B35" s="17">
        <v>18063.18181818182</v>
      </c>
      <c r="D35" s="16" t="s">
        <v>48</v>
      </c>
      <c r="E35" s="17">
        <v>28</v>
      </c>
    </row>
    <row r="36" spans="1:5" x14ac:dyDescent="0.35">
      <c r="A36" s="16" t="s">
        <v>110</v>
      </c>
      <c r="B36" s="17">
        <v>13207.129353233831</v>
      </c>
      <c r="D36" s="16" t="s">
        <v>52</v>
      </c>
      <c r="E36" s="17">
        <v>31</v>
      </c>
    </row>
    <row r="37" spans="1:5" x14ac:dyDescent="0.35">
      <c r="D37" s="16" t="s">
        <v>53</v>
      </c>
      <c r="E37" s="17">
        <v>28</v>
      </c>
    </row>
    <row r="38" spans="1:5" x14ac:dyDescent="0.35">
      <c r="D38" s="16" t="s">
        <v>54</v>
      </c>
      <c r="E38" s="17">
        <v>37</v>
      </c>
    </row>
    <row r="39" spans="1:5" x14ac:dyDescent="0.35">
      <c r="D39" s="16" t="s">
        <v>55</v>
      </c>
      <c r="E39" s="17">
        <v>47</v>
      </c>
    </row>
    <row r="40" spans="1:5" x14ac:dyDescent="0.35">
      <c r="D40" s="16" t="s">
        <v>56</v>
      </c>
      <c r="E40" s="17">
        <v>46</v>
      </c>
    </row>
    <row r="41" spans="1:5" x14ac:dyDescent="0.35">
      <c r="D41" s="16" t="s">
        <v>57</v>
      </c>
      <c r="E41" s="17">
        <v>28</v>
      </c>
    </row>
    <row r="42" spans="1:5" x14ac:dyDescent="0.35">
      <c r="D42" s="16" t="s">
        <v>110</v>
      </c>
      <c r="E42" s="17">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CD7A-4D96-431A-954A-2C5E1490901A}">
  <dimension ref="A1:L20"/>
  <sheetViews>
    <sheetView showGridLines="0" workbookViewId="0">
      <selection activeCell="M7" sqref="M7"/>
    </sheetView>
  </sheetViews>
  <sheetFormatPr defaultRowHeight="14.5" x14ac:dyDescent="0.35"/>
  <cols>
    <col min="6" max="6" width="33.81640625" customWidth="1"/>
  </cols>
  <sheetData>
    <row r="1" spans="1:11" ht="31.5" thickBot="1" x14ac:dyDescent="0.7">
      <c r="A1" s="23" t="s">
        <v>115</v>
      </c>
      <c r="B1" s="24"/>
      <c r="C1" s="24"/>
      <c r="D1" s="24"/>
      <c r="E1" s="24"/>
      <c r="F1" s="25"/>
    </row>
    <row r="2" spans="1:11" ht="31" customHeight="1" x14ac:dyDescent="0.35">
      <c r="A2" s="26" t="s">
        <v>116</v>
      </c>
      <c r="B2" s="26"/>
      <c r="C2" s="26"/>
      <c r="D2" s="26"/>
      <c r="E2" s="26"/>
      <c r="F2" s="26"/>
    </row>
    <row r="5" spans="1:11" x14ac:dyDescent="0.35">
      <c r="B5" s="18" t="s">
        <v>117</v>
      </c>
      <c r="C5" s="18" t="s">
        <v>118</v>
      </c>
      <c r="D5" s="18"/>
      <c r="E5" s="18"/>
      <c r="F5" s="18"/>
      <c r="G5" s="18"/>
      <c r="H5" s="18"/>
      <c r="I5" s="18"/>
      <c r="J5" s="18"/>
      <c r="K5" s="18"/>
    </row>
    <row r="6" spans="1:11" x14ac:dyDescent="0.35">
      <c r="B6" s="18"/>
      <c r="C6" s="18"/>
      <c r="D6" s="18"/>
      <c r="E6" s="18"/>
      <c r="F6" s="18"/>
      <c r="G6" s="18"/>
      <c r="H6" s="18"/>
      <c r="I6" s="18"/>
      <c r="J6" s="18"/>
      <c r="K6" s="18"/>
    </row>
    <row r="7" spans="1:11" x14ac:dyDescent="0.35">
      <c r="B7" s="18" t="s">
        <v>119</v>
      </c>
      <c r="C7" s="18" t="s">
        <v>120</v>
      </c>
      <c r="D7" s="18" t="s">
        <v>121</v>
      </c>
      <c r="E7" s="18" t="s">
        <v>122</v>
      </c>
      <c r="F7" s="22">
        <v>13207</v>
      </c>
      <c r="G7" s="18"/>
      <c r="H7" s="18"/>
      <c r="I7" s="18"/>
      <c r="J7" s="18"/>
      <c r="K7" s="18"/>
    </row>
    <row r="8" spans="1:11" x14ac:dyDescent="0.35">
      <c r="B8" s="18" t="s">
        <v>119</v>
      </c>
      <c r="C8" s="18" t="s">
        <v>123</v>
      </c>
      <c r="D8" s="22">
        <v>5118</v>
      </c>
      <c r="E8" s="18" t="s">
        <v>124</v>
      </c>
      <c r="F8" s="18" t="s">
        <v>125</v>
      </c>
      <c r="G8" s="18" t="s">
        <v>126</v>
      </c>
      <c r="H8" s="22">
        <v>45400</v>
      </c>
      <c r="I8" s="18"/>
      <c r="J8" s="18"/>
      <c r="K8" s="18"/>
    </row>
    <row r="9" spans="1:11" x14ac:dyDescent="0.35">
      <c r="B9" s="18"/>
      <c r="C9" s="18"/>
      <c r="D9" s="18"/>
      <c r="E9" s="18"/>
      <c r="F9" s="18"/>
      <c r="G9" s="18"/>
      <c r="H9" s="18"/>
      <c r="I9" s="18"/>
      <c r="J9" s="18"/>
      <c r="K9" s="18"/>
    </row>
    <row r="10" spans="1:11" x14ac:dyDescent="0.35">
      <c r="B10" s="18" t="s">
        <v>119</v>
      </c>
      <c r="C10" s="18" t="s">
        <v>127</v>
      </c>
      <c r="D10" s="18" t="s">
        <v>128</v>
      </c>
      <c r="E10" s="22">
        <v>2922</v>
      </c>
      <c r="F10" s="18" t="s">
        <v>129</v>
      </c>
      <c r="G10" s="18" t="s">
        <v>130</v>
      </c>
      <c r="H10" s="18" t="s">
        <v>1</v>
      </c>
      <c r="I10" s="18" t="s">
        <v>131</v>
      </c>
      <c r="J10" s="18"/>
      <c r="K10" s="18"/>
    </row>
    <row r="11" spans="1:11" x14ac:dyDescent="0.35">
      <c r="B11" s="18" t="s">
        <v>119</v>
      </c>
      <c r="C11" s="18" t="s">
        <v>132</v>
      </c>
      <c r="D11" s="18" t="s">
        <v>128</v>
      </c>
      <c r="E11" s="22">
        <v>3713</v>
      </c>
      <c r="F11" s="18" t="s">
        <v>129</v>
      </c>
      <c r="G11" s="18" t="s">
        <v>130</v>
      </c>
      <c r="H11" s="18" t="s">
        <v>133</v>
      </c>
      <c r="I11" s="18" t="s">
        <v>134</v>
      </c>
      <c r="J11" s="18"/>
      <c r="K11" s="18"/>
    </row>
    <row r="12" spans="1:11" x14ac:dyDescent="0.35">
      <c r="B12" s="18"/>
      <c r="C12" s="18"/>
      <c r="D12" s="18"/>
      <c r="E12" s="18"/>
      <c r="F12" s="18"/>
      <c r="G12" s="18"/>
      <c r="H12" s="18"/>
      <c r="I12" s="18"/>
      <c r="J12" s="18"/>
      <c r="K12" s="18"/>
    </row>
    <row r="13" spans="1:11" x14ac:dyDescent="0.35">
      <c r="B13" s="18" t="s">
        <v>119</v>
      </c>
      <c r="C13" s="18" t="s">
        <v>125</v>
      </c>
      <c r="D13" s="18" t="s">
        <v>135</v>
      </c>
      <c r="E13" s="18" t="s">
        <v>136</v>
      </c>
      <c r="F13" s="18" t="s">
        <v>137</v>
      </c>
      <c r="G13" s="18" t="s">
        <v>105</v>
      </c>
      <c r="H13" s="22">
        <v>-22209</v>
      </c>
      <c r="I13" s="18" t="s">
        <v>138</v>
      </c>
      <c r="J13" s="18" t="s">
        <v>106</v>
      </c>
      <c r="K13" s="22">
        <v>-21891</v>
      </c>
    </row>
    <row r="14" spans="1:11" x14ac:dyDescent="0.35">
      <c r="B14" s="18" t="s">
        <v>119</v>
      </c>
      <c r="C14" s="18" t="s">
        <v>139</v>
      </c>
      <c r="D14" s="18" t="s">
        <v>140</v>
      </c>
      <c r="E14" s="18" t="s">
        <v>136</v>
      </c>
      <c r="F14" s="18" t="s">
        <v>137</v>
      </c>
      <c r="G14" s="18" t="s">
        <v>103</v>
      </c>
      <c r="H14" s="18" t="s">
        <v>138</v>
      </c>
      <c r="I14" s="18" t="s">
        <v>104</v>
      </c>
      <c r="J14" s="18" t="s">
        <v>141</v>
      </c>
      <c r="K14" s="18"/>
    </row>
    <row r="15" spans="1:11" x14ac:dyDescent="0.35">
      <c r="B15" s="18"/>
      <c r="C15" s="18"/>
      <c r="D15" s="18"/>
      <c r="E15" s="18"/>
      <c r="F15" s="18"/>
      <c r="G15" s="18"/>
      <c r="H15" s="18"/>
      <c r="I15" s="18"/>
      <c r="J15" s="18"/>
      <c r="K15" s="18"/>
    </row>
    <row r="16" spans="1:11" x14ac:dyDescent="0.35">
      <c r="B16" s="18" t="s">
        <v>119</v>
      </c>
      <c r="C16" s="18" t="s">
        <v>125</v>
      </c>
      <c r="D16" s="18" t="s">
        <v>135</v>
      </c>
      <c r="E16" s="18" t="s">
        <v>142</v>
      </c>
      <c r="F16" s="18" t="s">
        <v>143</v>
      </c>
      <c r="G16" s="18"/>
      <c r="H16" s="18"/>
      <c r="I16" s="18"/>
      <c r="J16" s="18"/>
      <c r="K16" s="18"/>
    </row>
    <row r="17" spans="2:12" x14ac:dyDescent="0.35">
      <c r="B17" s="18" t="s">
        <v>119</v>
      </c>
      <c r="C17" s="18" t="s">
        <v>144</v>
      </c>
      <c r="D17" s="18" t="s">
        <v>135</v>
      </c>
      <c r="E17" s="18" t="s">
        <v>142</v>
      </c>
      <c r="F17" s="18" t="s">
        <v>145</v>
      </c>
      <c r="G17" s="18"/>
      <c r="H17" s="18"/>
      <c r="I17" s="18"/>
      <c r="J17" s="18"/>
      <c r="K17" s="18"/>
    </row>
    <row r="18" spans="2:12" x14ac:dyDescent="0.35">
      <c r="B18" s="18" t="s">
        <v>119</v>
      </c>
      <c r="C18" s="18" t="s">
        <v>146</v>
      </c>
      <c r="D18" s="18" t="s">
        <v>78</v>
      </c>
      <c r="E18" s="18" t="s">
        <v>142</v>
      </c>
      <c r="F18" s="18" t="s">
        <v>145</v>
      </c>
      <c r="G18" s="18" t="s">
        <v>147</v>
      </c>
      <c r="H18" s="18" t="s">
        <v>148</v>
      </c>
      <c r="I18" s="18" t="s">
        <v>149</v>
      </c>
      <c r="J18" s="18" t="s">
        <v>150</v>
      </c>
      <c r="K18" s="18" t="s">
        <v>151</v>
      </c>
      <c r="L18" t="s">
        <v>152</v>
      </c>
    </row>
    <row r="20" spans="2:12" x14ac:dyDescent="0.35">
      <c r="B20" t="s">
        <v>119</v>
      </c>
      <c r="C20" t="s">
        <v>153</v>
      </c>
      <c r="D20" t="s">
        <v>154</v>
      </c>
      <c r="E20" t="s">
        <v>155</v>
      </c>
      <c r="F20">
        <v>5.5</v>
      </c>
      <c r="G20" t="s">
        <v>156</v>
      </c>
      <c r="H20" t="s">
        <v>130</v>
      </c>
      <c r="I20" t="s">
        <v>157</v>
      </c>
      <c r="J20" t="s">
        <v>154</v>
      </c>
    </row>
  </sheetData>
  <mergeCells count="2">
    <mergeCell ref="A1:F1"/>
    <mergeCell ref="A2:F2"/>
  </mergeCells>
  <pageMargins left="0.25" right="0.25" top="0.75" bottom="0.75" header="0.3" footer="0.3"/>
  <pageSetup orientation="landscape"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Auto</vt:lpstr>
      <vt:lpstr>Analysis</vt:lpstr>
      <vt:lpstr>Dashboard</vt:lpstr>
      <vt:lpstr>Pivot Table</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olawaleexcellent olamilekan</cp:lastModifiedBy>
  <dcterms:created xsi:type="dcterms:W3CDTF">2026-04-16T23:53:52Z</dcterms:created>
  <dcterms:modified xsi:type="dcterms:W3CDTF">2026-04-17T11:40:31Z</dcterms:modified>
</cp:coreProperties>
</file>